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7f4cd5c29c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67aaa65fe3d4cd3"/>
    <x:sheet xmlns:r="http://schemas.openxmlformats.org/officeDocument/2006/relationships" name="Master_Data" sheetId="2" r:id="Rb8ad0dab6798452f"/>
    <x:sheet xmlns:r="http://schemas.openxmlformats.org/officeDocument/2006/relationships" name="Test_Scripts" sheetId="3" r:id="Rbea319cd6a9e464c"/>
    <x:sheet xmlns:r="http://schemas.openxmlformats.org/officeDocument/2006/relationships" name="Workflow_Approvals" sheetId="4" r:id="Rf42ddb79cd394f80"/>
    <x:sheet xmlns:r="http://schemas.openxmlformats.org/officeDocument/2006/relationships" name="Transaction_Data" sheetId="5" r:id="R82b7cb58c46c405e"/>
    <x:sheet xmlns:r="http://schemas.openxmlformats.org/officeDocument/2006/relationships" name="Expected_GL" sheetId="6" r:id="Rc0235ad4163f4fd9"/>
    <x:sheet xmlns:r="http://schemas.openxmlformats.org/officeDocument/2006/relationships" name="Fixed_Assets" sheetId="7" r:id="R198e32d35a7043c4"/>
    <x:sheet xmlns:r="http://schemas.openxmlformats.org/officeDocument/2006/relationships" name="Budget_Unit" sheetId="8" r:id="Rf6f7b1c4af854481"/>
    <x:sheet xmlns:r="http://schemas.openxmlformats.org/officeDocument/2006/relationships" name="Reconciliation_Checks" sheetId="9" r:id="R698bcf44b0e942ca"/>
    <x:sheet xmlns:r="http://schemas.openxmlformats.org/officeDocument/2006/relationships" name="Reports_Checklist" sheetId="10" r:id="Rde91a47deb324ed3"/>
    <x:sheet xmlns:r="http://schemas.openxmlformats.org/officeDocument/2006/relationships" name="Negative_Tests" sheetId="11" r:id="R39b52650b3e5492b"/>
    <x:sheet xmlns:r="http://schemas.openxmlformats.org/officeDocument/2006/relationships" name="Sources" sheetId="12" r:id="Rbec90720a09840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0.0%"/>
    <x:numFmt numFmtId="203" formatCode="0.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1F293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1F4E79"/>
      </x:patternFill>
    </x:fill>
    <x:fill>
      <x:patternFill patternType="solid">
        <x:fgColor rgb="FFC00000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202" fontId="5" fillId="0" borderId="1" xfId="0" applyNumberFormat="1" applyFont="1" applyFill="1" applyBorder="1" applyAlignment="1">
      <x:alignment vertical="top" wrapText="1"/>
    </x:xf>
    <x:xf numFmtId="203" fontId="5" fillId="0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7"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107C41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07C41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107C41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107C41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1F4E79"/>
      </x:font>
      <x:fill>
        <x:patternFill patternType="solid">
          <x:bgColor rgb="FFD9EAF7"/>
        </x:patternFill>
      </x:fill>
    </x:dxf>
    <x:dxf>
      <x:font>
        <x:b/>
        <x:color rgb="FF107C41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F4E79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361e2f44ec4070" /><Relationship Type="http://schemas.openxmlformats.org/officeDocument/2006/relationships/theme" Target="/xl/theme/theme1.xml" Id="Rcf1bec14bc7c4ac0" /><Relationship Type="http://schemas.openxmlformats.org/officeDocument/2006/relationships/sharedStrings" Target="/xl/sharedStrings.xml" Id="R0ce471ce2d694d1b" /><Relationship Type="http://schemas.openxmlformats.org/officeDocument/2006/relationships/worksheet" Target="/xl/worksheets/sheet1.xml" Id="R367aaa65fe3d4cd3" /><Relationship Type="http://schemas.openxmlformats.org/officeDocument/2006/relationships/worksheet" Target="/xl/worksheets/sheet2.xml" Id="Rb8ad0dab6798452f" /><Relationship Type="http://schemas.openxmlformats.org/officeDocument/2006/relationships/worksheet" Target="/xl/worksheets/sheet3.xml" Id="Rbea319cd6a9e464c" /><Relationship Type="http://schemas.openxmlformats.org/officeDocument/2006/relationships/worksheet" Target="/xl/worksheets/sheet4.xml" Id="Rf42ddb79cd394f80" /><Relationship Type="http://schemas.openxmlformats.org/officeDocument/2006/relationships/worksheet" Target="/xl/worksheets/sheet5.xml" Id="R82b7cb58c46c405e" /><Relationship Type="http://schemas.openxmlformats.org/officeDocument/2006/relationships/worksheet" Target="/xl/worksheets/sheet6.xml" Id="Rc0235ad4163f4fd9" /><Relationship Type="http://schemas.openxmlformats.org/officeDocument/2006/relationships/worksheet" Target="/xl/worksheets/sheet7.xml" Id="R198e32d35a7043c4" /><Relationship Type="http://schemas.openxmlformats.org/officeDocument/2006/relationships/worksheet" Target="/xl/worksheets/sheet8.xml" Id="Rf6f7b1c4af854481" /><Relationship Type="http://schemas.openxmlformats.org/officeDocument/2006/relationships/worksheet" Target="/xl/worksheets/sheet9.xml" Id="R698bcf44b0e942ca" /><Relationship Type="http://schemas.openxmlformats.org/officeDocument/2006/relationships/worksheet" Target="/xl/worksheets/sheet10.xml" Id="Rde91a47deb324ed3" /><Relationship Type="http://schemas.openxmlformats.org/officeDocument/2006/relationships/worksheet" Target="/xl/worksheets/sheet11.xml" Id="R39b52650b3e5492b" /><Relationship Type="http://schemas.openxmlformats.org/officeDocument/2006/relationships/worksheet" Target="/xl/worksheets/sheet12.xml" Id="Rbec90720a09840cb" /><Relationship Type="http://schemas.microsoft.com/office/2017/10/relationships/person" Target="/xl/persons/person.xml" Id="Rf4f9a73799734551" /></Relationships>
</file>

<file path=xl/persons/person.xml><?xml version="1.0" encoding="utf-8"?>
<xltc:personList xmlns:xltc="http://schemas.microsoft.com/office/spreadsheetml/2018/threadedcomments">
  <xltc:person displayName="User" id="{38F46D70-1386-40B1-B9CA-9D6939708074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1" ht="28" customHeight="1">
      <x:c r="A1" s="26" t="str">
        <x:v>RHEMA ERP Finance Manual Testing Pack</x:v>
      </x:c>
      <x:c r="B1" s="26"/>
      <x:c r="C1" s="26"/>
      <x:c r="D1" s="26"/>
      <x:c r="E1" s="26"/>
      <x:c r="F1" s="26"/>
      <x:c r="G1" s="26"/>
      <x:c r="H1" s="26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  <x:c r="AA1" s="27"/>
      <x:c r="AB1" s="27"/>
    </x:row>
    <x:row r="2" ht="46" customHeight="1">
      <x:c r="A2" s="28" t="str">
        <x:v>Manual UAT transaction pack for Finance features built so far. Assumptions: DEFAULT tenant, base currency GHS, open test period June 2026, segmented account format DEPT-ACCT-PROJ.</x:v>
      </x:c>
      <x:c r="B2" s="28"/>
      <x:c r="C2" s="28"/>
      <x:c r="D2" s="28"/>
      <x:c r="E2" s="28"/>
      <x:c r="F2" s="28"/>
      <x:c r="G2" s="28"/>
      <x:c r="H2" s="28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</x:row>
    <x:row r="4">
      <x:c r="A4" s="29" t="str">
        <x:v>Section</x:v>
      </x:c>
      <x:c r="B4" s="29" t="str">
        <x:v>How to use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  <x:c r="AA4" s="27"/>
      <x:c r="AB4" s="27"/>
    </x:row>
    <x:row r="5">
      <x:c r="A5" s="30" t="str">
        <x:v>1. Master_Data</x:v>
      </x:c>
      <x:c r="B5" s="30" t="str">
        <x:v>Confirm that the seeded chart of accounts, segments, payment terms, taxes, partners, and fixed asset categories exist before testing.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  <x:c r="AB5" s="27"/>
    </x:row>
    <x:row r="6">
      <x:c r="A6" s="30" t="str">
        <x:v>2. Test_Scripts</x:v>
      </x:c>
      <x:c r="B6" s="30" t="str">
        <x:v>Run the test scripts in sequence. Record status, tester initials, date, and evidence/reference in the editable columns.</x:v>
      </x:c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  <x:c r="AA6" s="27"/>
      <x:c r="AB6" s="27"/>
    </x:row>
    <x:row r="7">
      <x:c r="A7" s="30" t="str">
        <x:v>3. Workflow_Approvals</x:v>
      </x:c>
      <x:c r="B7" s="30" t="str">
        <x:v>Run approval, rejection, authorization, posting, reversal, segregation-of-duties, and audit-trail tests for every approval-enabled Finance flow.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  <x:c r="AA7" s="27"/>
      <x:c r="AB7" s="27"/>
    </x:row>
    <x:row r="8">
      <x:c r="A8" s="30" t="str">
        <x:v>4. Transaction_Data</x:v>
      </x:c>
      <x:c r="B8" s="30" t="str">
        <x:v>Use these document-level rows as input data. Amount columns are formula-backed where possible and can be adjusted for your environment.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  <x:c r="AA8" s="27"/>
      <x:c r="AB8" s="27"/>
    </x:row>
    <x:row r="9">
      <x:c r="A9" s="30" t="str">
        <x:v>5. Expected_GL</x:v>
      </x:c>
      <x:c r="B9" s="30" t="str">
        <x:v>Compare generated ERP journal entries to the expected postings. Use this as a target, not as an import file.</x:v>
      </x:c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  <x:c r="AA9" s="27"/>
      <x:c r="AB9" s="27"/>
    </x:row>
    <x:row r="10">
      <x:c r="A10" s="30" t="str">
        <x:v>6. Reconciliation_Checks</x:v>
      </x:c>
      <x:c r="B10" s="30" t="str">
        <x:v>Run the named ERP reports after each major stage and compare totals to the formula-backed checks.</x:v>
      </x:c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  <x:c r="AA10" s="27"/>
      <x:c r="AB10" s="27"/>
    </x:row>
    <x:row r="11">
      <x:c r="A11" s="30" t="str">
        <x:v>7. Fixed_Assets</x:v>
      </x:c>
      <x:c r="B11" s="30" t="str">
        <x:v>Covers acquisition, capitalization, depreciation, transfer, impairment/valuation, disposal, and lease/ROU flows.</x:v>
      </x:c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  <x:c r="AA11" s="27"/>
      <x:c r="AB11" s="27"/>
    </x:row>
    <x:row r="12">
      <x:c r="A12" s="30" t="str">
        <x:v>8. Budget_Unit</x:v>
      </x:c>
      <x:c r="B12" s="30" t="str">
        <x:v>Covers financial budgeting, unit budgets, unit journals, allocation drivers, and variance checks.</x:v>
      </x:c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  <x:c r="AA12" s="27"/>
      <x:c r="AB12" s="27"/>
    </x:row>
    <x:row r="13">
      <x:c r="A13" s="30" t="str">
        <x:v>Open questions for tester</x:v>
      </x:c>
      <x:c r="B13" s="30" t="str">
        <x:v>Confirm whether UAT should use the current local RHEMAERP database or a reset seeded sandbox; confirm bank account master setup; confirm whether approval workflows should be enforced or bypassed for speed.</x:v>
      </x:c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  <x:c r="AA13" s="27"/>
      <x:c r="AB13" s="27"/>
    </x:row>
    <x:row r="14">
      <x:c r="A14" s="30" t="str">
        <x:v>Important watchout</x:v>
      </x:c>
      <x:c r="B14" s="30" t="str">
        <x:v>The current local database queried on 2026-07-16 showed some latest seed accounts may be missing or named differently, especially discount and split FX gain/loss accounts. Treat that as a setup defect to resolve before full testing.</x:v>
      </x:c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  <x:c r="AA14" s="27"/>
      <x:c r="AB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  <x:c r="AA15" s="27"/>
      <x:c r="AB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  <x:c r="AA16" s="27"/>
      <x:c r="AB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  <x:c r="AA17" s="27"/>
      <x:c r="AB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  <x:c r="AA18" s="27"/>
      <x:c r="AB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  <x:c r="AA19" s="27"/>
      <x:c r="AB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  <x:c r="AA20" s="27"/>
      <x:c r="AB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  <x:c r="AA21" s="27"/>
      <x:c r="AB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  <x:c r="AA22" s="27"/>
      <x:c r="AB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  <x:c r="AA23" s="27"/>
      <x:c r="AB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  <x:c r="AA24" s="27"/>
      <x:c r="AB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  <x:c r="AA25" s="27"/>
      <x:c r="AB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  <x:c r="AA26" s="27"/>
      <x:c r="AB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  <x:c r="AA27" s="27"/>
      <x:c r="AB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  <x:c r="AA28" s="27"/>
      <x:c r="AB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  <x:c r="AA29" s="27"/>
      <x:c r="AB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  <x:c r="AA30" s="27"/>
      <x:c r="AB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  <x:c r="AA31" s="27"/>
      <x:c r="AB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  <x:c r="AA32" s="27"/>
      <x:c r="AB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  <x:c r="AA33" s="27"/>
      <x:c r="AB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  <x:c r="AA34" s="27"/>
      <x:c r="AB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  <x:c r="AA35" s="27"/>
      <x:c r="AB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  <x:c r="AA36" s="27"/>
      <x:c r="AB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  <x:c r="AA37" s="27"/>
      <x:c r="AB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  <x:c r="AA38" s="27"/>
      <x:c r="AB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  <x:c r="AA39" s="27"/>
      <x:c r="AB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  <x:c r="AA40" s="27"/>
      <x:c r="AB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  <x:c r="AA41" s="27"/>
      <x:c r="AB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  <x:c r="AA42" s="27"/>
      <x:c r="AB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  <x:c r="AA43" s="27"/>
      <x:c r="AB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  <x:c r="AA44" s="27"/>
      <x:c r="AB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  <x:c r="AA45" s="27"/>
      <x:c r="AB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  <x:c r="AA46" s="27"/>
      <x:c r="AB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  <x:c r="AA47" s="27"/>
      <x:c r="AB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  <x:c r="AA48" s="27"/>
      <x:c r="AB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  <x:c r="AA49" s="27"/>
      <x:c r="AB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  <x:c r="AA50" s="27"/>
      <x:c r="AB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  <x:c r="AA51" s="27"/>
      <x:c r="AB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  <x:c r="AA52" s="27"/>
      <x:c r="AB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  <x:c r="AA53" s="27"/>
      <x:c r="AB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  <x:c r="AA54" s="27"/>
      <x:c r="AB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  <x:c r="AA55" s="27"/>
      <x:c r="AB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  <x:c r="AA56" s="27"/>
      <x:c r="AB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  <x:c r="AA57" s="27"/>
      <x:c r="AB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  <x:c r="AA58" s="27"/>
      <x:c r="AB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  <x:c r="AA59" s="27"/>
      <x:c r="AB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  <x:c r="AA60" s="27"/>
      <x:c r="AB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  <x:c r="AA61" s="27"/>
      <x:c r="AB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  <x:c r="AA62" s="27"/>
      <x:c r="AB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  <x:c r="AA63" s="27"/>
      <x:c r="AB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  <x:c r="AA64" s="27"/>
      <x:c r="AB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  <x:c r="AA65" s="27"/>
      <x:c r="AB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  <x:c r="AA66" s="27"/>
      <x:c r="AB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  <x:c r="AA67" s="27"/>
      <x:c r="AB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  <x:c r="AA68" s="27"/>
      <x:c r="AB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  <x:c r="AA69" s="27"/>
      <x:c r="AB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  <x:c r="AA70" s="27"/>
      <x:c r="AB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  <x:c r="AA71" s="27"/>
      <x:c r="AB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  <x:c r="AA72" s="27"/>
      <x:c r="AB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  <x:c r="AA73" s="27"/>
      <x:c r="AB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  <x:c r="AA74" s="27"/>
      <x:c r="AB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  <x:c r="AA75" s="27"/>
      <x:c r="AB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  <x:c r="AA76" s="27"/>
      <x:c r="AB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  <x:c r="AA77" s="27"/>
      <x:c r="AB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  <x:c r="AA78" s="27"/>
      <x:c r="AB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  <x:c r="AA79" s="27"/>
      <x:c r="AB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  <x:c r="AA80" s="27"/>
      <x:c r="AB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  <x:c r="AA81" s="27"/>
      <x:c r="AB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  <x:c r="AA82" s="27"/>
      <x:c r="AB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  <x:c r="AA83" s="27"/>
      <x:c r="AB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  <x:c r="AA84" s="27"/>
      <x:c r="AB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  <x:c r="AA85" s="27"/>
      <x:c r="AB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  <x:c r="AA86" s="27"/>
      <x:c r="AB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  <x:c r="AA87" s="27"/>
      <x:c r="AB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  <x:c r="AA88" s="27"/>
      <x:c r="AB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  <x:c r="AA89" s="27"/>
      <x:c r="AB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  <x:c r="AA90" s="27"/>
      <x:c r="AB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  <x:c r="AA91" s="27"/>
      <x:c r="AB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  <x:c r="AA92" s="27"/>
      <x:c r="AB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  <x:c r="AA93" s="27"/>
      <x:c r="AB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  <x:c r="AA94" s="27"/>
      <x:c r="AB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  <x:c r="AA95" s="27"/>
      <x:c r="AB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  <x:c r="AA96" s="27"/>
      <x:c r="AB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  <x:c r="AA97" s="27"/>
      <x:c r="AB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  <x:c r="AA98" s="27"/>
      <x:c r="AB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  <x:c r="AA99" s="27"/>
      <x:c r="AB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  <x:c r="AA100" s="27"/>
      <x:c r="AB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  <x:c r="AA101" s="27"/>
      <x:c r="AB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  <x:c r="AA102" s="27"/>
      <x:c r="AB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  <x:c r="AA103" s="27"/>
      <x:c r="AB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  <x:c r="AA104" s="27"/>
      <x:c r="AB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  <x:c r="AA105" s="27"/>
      <x:c r="AB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  <x:c r="AA106" s="27"/>
      <x:c r="AB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  <x:c r="AA107" s="27"/>
      <x:c r="AB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  <x:c r="AA108" s="27"/>
      <x:c r="AB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  <x:c r="AA109" s="27"/>
      <x:c r="AB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  <x:c r="AA110" s="27"/>
      <x:c r="AB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  <x:c r="AA111" s="27"/>
      <x:c r="AB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  <x:c r="AA112" s="27"/>
      <x:c r="AB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  <x:c r="AA113" s="27"/>
      <x:c r="AB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  <x:c r="AA114" s="27"/>
      <x:c r="AB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  <x:c r="AA115" s="27"/>
      <x:c r="AB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  <x:c r="AA116" s="27"/>
      <x:c r="AB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  <x:c r="AA117" s="27"/>
      <x:c r="AB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  <x:c r="AA118" s="27"/>
      <x:c r="AB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  <x:c r="AA119" s="27"/>
      <x:c r="AB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  <x:c r="AA120" s="27"/>
      <x:c r="AB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  <x:c r="AA121" s="27"/>
      <x:c r="AB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  <x:c r="AA122" s="27"/>
      <x:c r="AB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  <x:c r="AA123" s="27"/>
      <x:c r="AB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  <x:c r="AA124" s="27"/>
      <x:c r="AB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  <x:c r="AA125" s="27"/>
      <x:c r="AB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  <x:c r="AA126" s="27"/>
      <x:c r="AB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  <x:c r="AA127" s="27"/>
      <x:c r="AB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  <x:c r="AA128" s="27"/>
      <x:c r="AB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  <x:c r="AA129" s="27"/>
      <x:c r="AB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  <x:c r="AA130" s="27"/>
      <x:c r="AB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  <x:c r="AA131" s="27"/>
      <x:c r="AB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  <x:c r="AA132" s="27"/>
      <x:c r="AB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  <x:c r="AA133" s="27"/>
      <x:c r="AB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  <x:c r="AA134" s="27"/>
      <x:c r="AB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  <x:c r="AA135" s="27"/>
      <x:c r="AB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  <x:c r="AA136" s="27"/>
      <x:c r="AB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  <x:c r="AA137" s="27"/>
      <x:c r="AB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  <x:c r="AA138" s="27"/>
      <x:c r="AB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  <x:c r="AA139" s="27"/>
      <x:c r="AB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  <x:c r="AA140" s="27"/>
      <x:c r="AB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  <x:c r="AA141" s="27"/>
      <x:c r="AB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  <x:c r="AA142" s="27"/>
      <x:c r="AB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  <x:c r="AA143" s="27"/>
      <x:c r="AB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  <x:c r="AA144" s="27"/>
      <x:c r="AB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  <x:c r="AA145" s="27"/>
      <x:c r="AB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  <x:c r="AA146" s="27"/>
      <x:c r="AB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  <x:c r="AA147" s="27"/>
      <x:c r="AB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  <x:c r="AA148" s="27"/>
      <x:c r="AB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  <x:c r="AA149" s="27"/>
      <x:c r="AB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  <x:c r="AA150" s="27"/>
      <x:c r="AB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  <x:c r="AA151" s="27"/>
      <x:c r="AB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  <x:c r="AA152" s="27"/>
      <x:c r="AB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  <x:c r="AA153" s="27"/>
      <x:c r="AB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  <x:c r="AA154" s="27"/>
      <x:c r="AB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  <x:c r="AA155" s="27"/>
      <x:c r="AB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  <x:c r="AA156" s="27"/>
      <x:c r="AB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  <x:c r="AA157" s="27"/>
      <x:c r="AB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  <x:c r="AA158" s="27"/>
      <x:c r="AB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  <x:c r="AA159" s="27"/>
      <x:c r="AB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  <x:c r="AA160" s="27"/>
      <x:c r="AB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  <x:c r="AA161" s="27"/>
      <x:c r="AB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  <x:c r="AA162" s="27"/>
      <x:c r="AB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  <x:c r="AA163" s="27"/>
      <x:c r="AB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  <x:c r="AA164" s="27"/>
      <x:c r="AB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  <x:c r="AA165" s="27"/>
      <x:c r="AB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  <x:c r="AA166" s="27"/>
      <x:c r="AB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  <x:c r="AA167" s="27"/>
      <x:c r="AB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  <x:c r="AA168" s="27"/>
      <x:c r="AB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  <x:c r="AA169" s="27"/>
      <x:c r="AB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  <x:c r="AA170" s="27"/>
      <x:c r="AB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  <x:c r="AA171" s="27"/>
      <x:c r="AB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  <x:c r="AA172" s="27"/>
      <x:c r="AB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  <x:c r="AA173" s="27"/>
      <x:c r="AB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  <x:c r="AA174" s="27"/>
      <x:c r="AB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  <x:c r="AA175" s="27"/>
      <x:c r="AB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  <x:c r="AA176" s="27"/>
      <x:c r="AB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  <x:c r="AA177" s="27"/>
      <x:c r="AB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  <x:c r="AA178" s="27"/>
      <x:c r="AB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  <x:c r="AA179" s="27"/>
      <x:c r="AB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  <x:c r="AA180" s="27"/>
      <x:c r="AB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  <x:c r="AA181" s="27"/>
      <x:c r="AB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  <x:c r="AA182" s="27"/>
      <x:c r="AB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  <x:c r="AA183" s="27"/>
      <x:c r="AB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  <x:c r="AA184" s="27"/>
      <x:c r="AB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  <x:c r="AA185" s="27"/>
      <x:c r="AB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  <x:c r="AA186" s="27"/>
      <x:c r="AB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  <x:c r="AA187" s="27"/>
      <x:c r="AB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  <x:c r="AA188" s="27"/>
      <x:c r="AB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  <x:c r="AA189" s="27"/>
      <x:c r="AB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  <x:c r="AA190" s="27"/>
      <x:c r="AB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  <x:c r="AA191" s="27"/>
      <x:c r="AB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  <x:c r="AA192" s="27"/>
      <x:c r="AB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  <x:c r="AA193" s="27"/>
      <x:c r="AB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  <x:c r="AA194" s="27"/>
      <x:c r="AB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  <x:c r="AA195" s="27"/>
      <x:c r="AB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  <x:c r="AA196" s="27"/>
      <x:c r="AB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  <x:c r="AA197" s="27"/>
      <x:c r="AB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  <x:c r="AA198" s="27"/>
      <x:c r="AB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  <x:c r="AA199" s="27"/>
      <x:c r="AB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  <x:c r="AA200" s="27"/>
      <x:c r="AB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  <x:c r="AA201" s="27"/>
      <x:c r="AB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  <x:c r="AA202" s="27"/>
      <x:c r="AB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  <x:c r="AA203" s="27"/>
      <x:c r="AB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  <x:c r="AA204" s="27"/>
      <x:c r="AB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  <x:c r="AA205" s="27"/>
      <x:c r="AB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  <x:c r="Z206" s="27"/>
      <x:c r="AA206" s="27"/>
      <x:c r="AB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  <x:c r="Z207" s="27"/>
      <x:c r="AA207" s="27"/>
      <x:c r="AB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  <x:c r="Z208" s="27"/>
      <x:c r="AA208" s="27"/>
      <x:c r="AB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  <x:c r="Z209" s="27"/>
      <x:c r="AA209" s="27"/>
      <x:c r="AB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  <x:c r="Z210" s="27"/>
      <x:c r="AA210" s="27"/>
      <x:c r="AB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  <x:c r="Z211" s="27"/>
      <x:c r="AA211" s="27"/>
      <x:c r="AB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  <x:c r="Z212" s="27"/>
      <x:c r="AA212" s="27"/>
      <x:c r="AB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  <x:c r="Z213" s="27"/>
      <x:c r="AA213" s="27"/>
      <x:c r="AB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  <x:c r="Z214" s="27"/>
      <x:c r="AA214" s="27"/>
      <x:c r="AB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  <x:c r="Z215" s="27"/>
      <x:c r="AA215" s="27"/>
      <x:c r="AB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  <x:c r="Z216" s="27"/>
      <x:c r="AA216" s="27"/>
      <x:c r="AB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  <x:c r="Z217" s="27"/>
      <x:c r="AA217" s="27"/>
      <x:c r="AB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  <x:c r="Z218" s="27"/>
      <x:c r="AA218" s="27"/>
      <x:c r="AB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  <x:c r="Z219" s="27"/>
      <x:c r="AA219" s="27"/>
      <x:c r="AB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  <x:c r="Z220" s="27"/>
      <x:c r="AA220" s="27"/>
      <x:c r="AB220" s="2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34" hidden="0" customWidth="1"/>
    <x:col min="4" max="4" width="16" hidden="0" customWidth="1"/>
    <x:col min="5" max="5" width="24" hidden="0" customWidth="1"/>
    <x:col min="6" max="6" width="12" hidden="0" customWidth="1"/>
    <x:col min="7" max="7" width="15" hidden="0" customWidth="1"/>
    <x:col min="8" max="8" width="15" hidden="0" customWidth="1"/>
    <x:col min="9" max="9" width="16" hidden="0" customWidth="1"/>
    <x:col min="10" max="10" width="70" hidden="0" customWidth="1"/>
  </x:cols>
  <x:sheetData>
    <x:row r="1" ht="28" customHeight="1">
      <x:c r="A1" s="26" t="str">
        <x:v>Master Data Assumptions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  <x:c r="AA1" s="27"/>
      <x:c r="AB1" s="27"/>
    </x:row>
    <x:row r="2" ht="46" customHeight="1">
      <x:c r="A2" s="28" t="str">
        <x:v>Seeded and queried data used by this manual test pack. Replace only if your UAT database has different approved partners or account mappings.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</x:row>
    <x:row r="4">
      <x:c r="A4" s="31" t="str">
        <x:v>Segment Code</x:v>
      </x:c>
      <x:c r="B4" s="31" t="str">
        <x:v>Name</x:v>
      </x:c>
      <x:c r="C4" s="31" t="str">
        <x:v>Position</x:v>
      </x:c>
      <x:c r="D4" s="31" t="str">
        <x:v>Length</x:v>
      </x:c>
      <x:c r="E4" s="31" t="str">
        <x:v>Lookup Required</x:v>
      </x:c>
      <x:c r="F4" s="31" t="str">
        <x:v>Reporting Dimension</x:v>
      </x:c>
      <x:c r="G4" s="31" t="str">
        <x:v>Natural Account</x:v>
      </x:c>
      <x:c r="H4" s="31" t="str">
        <x:v>Values</x:v>
      </x:c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  <x:c r="AA4" s="27"/>
      <x:c r="AB4" s="27"/>
    </x:row>
    <x:row r="5">
      <x:c r="A5" s="30" t="str">
        <x:v>DEPT</x:v>
      </x:c>
      <x:c r="B5" s="30" t="str">
        <x:v>Department</x:v>
      </x:c>
      <x:c r="C5" s="30" t="n">
        <x:v>1</x:v>
      </x:c>
      <x:c r="D5" s="30" t="n">
        <x:v>3</x:v>
      </x:c>
      <x:c r="E5" s="30" t="str">
        <x:v>Yes</x:v>
      </x:c>
      <x:c r="F5" s="30" t="str">
        <x:v>Yes</x:v>
      </x:c>
      <x:c r="G5" s="30" t="str">
        <x:v>No</x:v>
      </x:c>
      <x:c r="H5" s="30" t="str">
        <x:v>000 General; 100 Finance &amp; Administration; 200 Estates; 300 Development &amp; Engineering; 400 Legal; 500 Planning &amp; Communication; 600 Internal Audit</x:v>
      </x:c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  <x:c r="AB5" s="27"/>
    </x:row>
    <x:row r="6">
      <x:c r="A6" s="30" t="str">
        <x:v>ACCT</x:v>
      </x:c>
      <x:c r="B6" s="30" t="str">
        <x:v>Natural Account</x:v>
      </x:c>
      <x:c r="C6" s="30" t="n">
        <x:v>2</x:v>
      </x:c>
      <x:c r="D6" s="30" t="n">
        <x:v>4</x:v>
      </x:c>
      <x:c r="E6" s="30" t="str">
        <x:v>No</x:v>
      </x:c>
      <x:c r="F6" s="30" t="str">
        <x:v>Yes</x:v>
      </x:c>
      <x:c r="G6" s="30" t="str">
        <x:v>Yes</x:v>
      </x:c>
      <x:c r="H6" s="30" t="str">
        <x:v>Uses natural account code such as 1100, 2000, 4100.</x:v>
      </x:c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  <x:c r="AA6" s="27"/>
      <x:c r="AB6" s="27"/>
    </x:row>
    <x:row r="7">
      <x:c r="A7" s="30" t="str">
        <x:v>PROJ</x:v>
      </x:c>
      <x:c r="B7" s="30" t="str">
        <x:v>Project</x:v>
      </x:c>
      <x:c r="C7" s="30" t="n">
        <x:v>3</x:v>
      </x:c>
      <x:c r="D7" s="30" t="n">
        <x:v>4</x:v>
      </x:c>
      <x:c r="E7" s="30" t="str">
        <x:v>Yes</x:v>
      </x:c>
      <x:c r="F7" s="30" t="str">
        <x:v>Yes</x:v>
      </x:c>
      <x:c r="G7" s="30" t="str">
        <x:v>No</x:v>
      </x:c>
      <x:c r="H7" s="30" t="str">
        <x:v>0000 No Project; P101 Kpone Affordable Housing; P102 Oxygen City; P103 Kaiser Flats; P104 Tema Event Center</x:v>
      </x:c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  <x:c r="AA7" s="27"/>
      <x:c r="AB7" s="27"/>
    </x:row>
    <x:row r="8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  <x:c r="AA8" s="27"/>
      <x:c r="AB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  <x:c r="AA9" s="27"/>
      <x:c r="AB9" s="27"/>
    </x:row>
    <x:row r="10">
      <x:c r="A10" s="31" t="str">
        <x:v>Code</x:v>
      </x:c>
      <x:c r="B10" s="31" t="str">
        <x:v>Account Number</x:v>
      </x:c>
      <x:c r="C10" s="31" t="str">
        <x:v>Name</x:v>
      </x:c>
      <x:c r="D10" s="31" t="str">
        <x:v>Type</x:v>
      </x:c>
      <x:c r="E10" s="31" t="str">
        <x:v>Category</x:v>
      </x:c>
      <x:c r="F10" s="31" t="str">
        <x:v>Control</x:v>
      </x:c>
      <x:c r="G10" s="31" t="str">
        <x:v>Direct Posting</x:v>
      </x:c>
      <x:c r="H10" s="31" t="str">
        <x:v>Budget Tracking</x:v>
      </x:c>
      <x:c r="I10" s="31" t="str">
        <x:v>Multi-Currency</x:v>
      </x:c>
      <x:c r="J10" s="31" t="str">
        <x:v>Testing Notes</x:v>
      </x:c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  <x:c r="AA10" s="27"/>
      <x:c r="AB10" s="27"/>
    </x:row>
    <x:row r="11">
      <x:c r="A11" s="30" t="str">
        <x:v>1000</x:v>
      </x:c>
      <x:c r="B11" s="30" t="str">
        <x:v>000-1000-0000</x:v>
      </x:c>
      <x:c r="C11" s="30" t="str">
        <x:v>Cash and Cash Equivalents</x:v>
      </x:c>
      <x:c r="D11" s="30" t="str">
        <x:v>Asset</x:v>
      </x:c>
      <x:c r="E11" s="30" t="str">
        <x:v>Current Assets</x:v>
      </x:c>
      <x:c r="F11" s="30" t="str">
        <x:v>No</x:v>
      </x:c>
      <x:c r="G11" s="30" t="str">
        <x:v>Yes</x:v>
      </x:c>
      <x:c r="H11" s="30" t="str">
        <x:v>No</x:v>
      </x:c>
      <x:c r="I11" s="30" t="str">
        <x:v>No</x:v>
      </x:c>
      <x:c r="J11" s="30" t="str">
        <x:v>Default bank/cash account for manual finance tests.</x:v>
      </x:c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  <x:c r="AA11" s="27"/>
      <x:c r="AB11" s="27"/>
    </x:row>
    <x:row r="12">
      <x:c r="A12" s="30" t="str">
        <x:v>1010</x:v>
      </x:c>
      <x:c r="B12" s="30" t="str">
        <x:v>000-1010-0000</x:v>
      </x:c>
      <x:c r="C12" s="30" t="str">
        <x:v>Cash and Bank - Payroll Clearing</x:v>
      </x:c>
      <x:c r="D12" s="30" t="str">
        <x:v>Asset</x:v>
      </x:c>
      <x:c r="E12" s="30" t="str">
        <x:v>Current Assets</x:v>
      </x:c>
      <x:c r="F12" s="30" t="str">
        <x:v>No</x:v>
      </x:c>
      <x:c r="G12" s="30" t="str">
        <x:v>Yes</x:v>
      </x:c>
      <x:c r="H12" s="30" t="str">
        <x:v>No</x:v>
      </x:c>
      <x:c r="I12" s="30" t="str">
        <x:v>No</x:v>
      </x:c>
      <x:c r="J12" s="30" t="str">
        <x:v>Use for payroll or internal bank transfer checks.</x:v>
      </x:c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  <x:c r="AA12" s="27"/>
      <x:c r="AB12" s="27"/>
    </x:row>
    <x:row r="13">
      <x:c r="A13" s="30" t="str">
        <x:v>1100</x:v>
      </x:c>
      <x:c r="B13" s="30" t="str">
        <x:v>000-1100-0000</x:v>
      </x:c>
      <x:c r="C13" s="30" t="str">
        <x:v>Accounts Receivable</x:v>
      </x:c>
      <x:c r="D13" s="30" t="str">
        <x:v>Asset</x:v>
      </x:c>
      <x:c r="E13" s="30" t="str">
        <x:v>Current Assets</x:v>
      </x:c>
      <x:c r="F13" s="30" t="str">
        <x:v>Yes</x:v>
      </x:c>
      <x:c r="G13" s="30" t="str">
        <x:v>Yes</x:v>
      </x:c>
      <x:c r="H13" s="30" t="str">
        <x:v>No</x:v>
      </x:c>
      <x:c r="I13" s="30" t="str">
        <x:v>Yes</x:v>
      </x:c>
      <x:c r="J13" s="30" t="str">
        <x:v>AR control account; customer subledger must reconcile to this.</x:v>
      </x:c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  <x:c r="AA13" s="27"/>
      <x:c r="AB13" s="27"/>
    </x:row>
    <x:row r="14">
      <x:c r="A14" s="30" t="str">
        <x:v>1120</x:v>
      </x:c>
      <x:c r="B14" s="30" t="str">
        <x:v>000-1120-0000</x:v>
      </x:c>
      <x:c r="C14" s="30" t="str">
        <x:v>Staff Loans and Salary Advances</x:v>
      </x:c>
      <x:c r="D14" s="30" t="str">
        <x:v>Asset</x:v>
      </x:c>
      <x:c r="E14" s="30" t="str">
        <x:v>Current Assets</x:v>
      </x:c>
      <x:c r="F14" s="30" t="str">
        <x:v>No</x:v>
      </x:c>
      <x:c r="G14" s="30" t="str">
        <x:v>Yes</x:v>
      </x:c>
      <x:c r="H14" s="30" t="str">
        <x:v>No</x:v>
      </x:c>
      <x:c r="I14" s="30" t="str">
        <x:v>No</x:v>
      </x:c>
      <x:c r="J14" s="30" t="str">
        <x:v>Payroll recoveries and staff advance tests.</x:v>
      </x:c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  <x:c r="AA14" s="27"/>
      <x:c r="AB14" s="27"/>
    </x:row>
    <x:row r="15">
      <x:c r="A15" s="30" t="str">
        <x:v>1200</x:v>
      </x:c>
      <x:c r="B15" s="30" t="str">
        <x:v>000-1200-0000</x:v>
      </x:c>
      <x:c r="C15" s="30" t="str">
        <x:v>Inventory</x:v>
      </x:c>
      <x:c r="D15" s="30" t="str">
        <x:v>Asset</x:v>
      </x:c>
      <x:c r="E15" s="30" t="str">
        <x:v>Current Assets</x:v>
      </x:c>
      <x:c r="F15" s="30" t="str">
        <x:v>No</x:v>
      </x:c>
      <x:c r="G15" s="30" t="str">
        <x:v>Yes</x:v>
      </x:c>
      <x:c r="H15" s="30" t="str">
        <x:v>Yes</x:v>
      </x:c>
      <x:c r="I15" s="30" t="str">
        <x:v>No</x:v>
      </x:c>
      <x:c r="J15" s="30" t="str">
        <x:v>Inventory/GRV tests and COGS checks.</x:v>
      </x:c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  <x:c r="AA15" s="27"/>
      <x:c r="AB15" s="27"/>
    </x:row>
    <x:row r="16">
      <x:c r="A16" s="30" t="str">
        <x:v>1500</x:v>
      </x:c>
      <x:c r="B16" s="30" t="str">
        <x:v>000-1500-0000</x:v>
      </x:c>
      <x:c r="C16" s="30" t="str">
        <x:v>Property, Plant &amp; Equipment</x:v>
      </x:c>
      <x:c r="D16" s="30" t="str">
        <x:v>Asset</x:v>
      </x:c>
      <x:c r="E16" s="30" t="str">
        <x:v>Fixed Assets</x:v>
      </x:c>
      <x:c r="F16" s="30" t="str">
        <x:v>Yes</x:v>
      </x:c>
      <x:c r="G16" s="30" t="str">
        <x:v>No</x:v>
      </x:c>
      <x:c r="H16" s="30" t="str">
        <x:v>No</x:v>
      </x:c>
      <x:c r="I16" s="30" t="str">
        <x:v>No</x:v>
      </x:c>
      <x:c r="J16" s="30" t="str">
        <x:v>PPE control account; direct posting should be blocked.</x:v>
      </x:c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  <x:c r="AA16" s="27"/>
      <x:c r="AB16" s="27"/>
    </x:row>
    <x:row r="17">
      <x:c r="A17" s="30" t="str">
        <x:v>1510</x:v>
      </x:c>
      <x:c r="B17" s="30" t="str">
        <x:v>000-1510-0000</x:v>
      </x:c>
      <x:c r="C17" s="30" t="str">
        <x:v>Buildings</x:v>
      </x:c>
      <x:c r="D17" s="30" t="str">
        <x:v>Asset</x:v>
      </x:c>
      <x:c r="E17" s="30" t="str">
        <x:v>Fixed Assets</x:v>
      </x:c>
      <x:c r="F17" s="30" t="str">
        <x:v>No</x:v>
      </x:c>
      <x:c r="G17" s="30" t="str">
        <x:v>Yes</x:v>
      </x:c>
      <x:c r="H17" s="30" t="str">
        <x:v>No</x:v>
      </x:c>
      <x:c r="I17" s="30" t="str">
        <x:v>No</x:v>
      </x:c>
      <x:c r="J17" s="30" t="str">
        <x:v>Building and ROU asset posting fallback.</x:v>
      </x:c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  <x:c r="AA17" s="27"/>
      <x:c r="AB17" s="27"/>
    </x:row>
    <x:row r="18">
      <x:c r="A18" s="30" t="str">
        <x:v>1520</x:v>
      </x:c>
      <x:c r="B18" s="30" t="str">
        <x:v>000-1520-0000</x:v>
      </x:c>
      <x:c r="C18" s="30" t="str">
        <x:v>Equipment</x:v>
      </x:c>
      <x:c r="D18" s="30" t="str">
        <x:v>Asset</x:v>
      </x:c>
      <x:c r="E18" s="30" t="str">
        <x:v>Fixed Assets</x:v>
      </x:c>
      <x:c r="F18" s="30" t="str">
        <x:v>No</x:v>
      </x:c>
      <x:c r="G18" s="30" t="str">
        <x:v>Yes</x:v>
      </x:c>
      <x:c r="H18" s="30" t="str">
        <x:v>No</x:v>
      </x:c>
      <x:c r="I18" s="30" t="str">
        <x:v>No</x:v>
      </x:c>
      <x:c r="J18" s="30" t="str">
        <x:v>Equipment acquisitions/capitalization.</x:v>
      </x:c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  <x:c r="AA18" s="27"/>
      <x:c r="AB18" s="27"/>
    </x:row>
    <x:row r="19">
      <x:c r="A19" s="30" t="str">
        <x:v>1530</x:v>
      </x:c>
      <x:c r="B19" s="30" t="str">
        <x:v>000-1530-0000</x:v>
      </x:c>
      <x:c r="C19" s="30" t="str">
        <x:v>Vehicles</x:v>
      </x:c>
      <x:c r="D19" s="30" t="str">
        <x:v>Asset</x:v>
      </x:c>
      <x:c r="E19" s="30" t="str">
        <x:v>Fixed Assets</x:v>
      </x:c>
      <x:c r="F19" s="30" t="str">
        <x:v>No</x:v>
      </x:c>
      <x:c r="G19" s="30" t="str">
        <x:v>Yes</x:v>
      </x:c>
      <x:c r="H19" s="30" t="str">
        <x:v>No</x:v>
      </x:c>
      <x:c r="I19" s="30" t="str">
        <x:v>No</x:v>
      </x:c>
      <x:c r="J19" s="30" t="str">
        <x:v>Vehicle acquisition/disposal tests.</x:v>
      </x:c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  <x:c r="AA19" s="27"/>
      <x:c r="AB19" s="27"/>
    </x:row>
    <x:row r="20">
      <x:c r="A20" s="30" t="str">
        <x:v>1590</x:v>
      </x:c>
      <x:c r="B20" s="30" t="str">
        <x:v>000-1590-0000</x:v>
      </x:c>
      <x:c r="C20" s="30" t="str">
        <x:v>Accumulated Depreciation</x:v>
      </x:c>
      <x:c r="D20" s="30" t="str">
        <x:v>Asset</x:v>
      </x:c>
      <x:c r="E20" s="30" t="str">
        <x:v>Fixed Assets</x:v>
      </x:c>
      <x:c r="F20" s="30" t="str">
        <x:v>No</x:v>
      </x:c>
      <x:c r="G20" s="30" t="str">
        <x:v>Yes</x:v>
      </x:c>
      <x:c r="H20" s="30" t="str">
        <x:v>No</x:v>
      </x:c>
      <x:c r="I20" s="30" t="str">
        <x:v>No</x:v>
      </x:c>
      <x:c r="J20" s="30" t="str">
        <x:v>Contra-asset account for depreciation and disposal clearing.</x:v>
      </x:c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  <x:c r="AA20" s="27"/>
      <x:c r="AB20" s="27"/>
    </x:row>
    <x:row r="21">
      <x:c r="A21" s="30" t="str">
        <x:v>1990</x:v>
      </x:c>
      <x:c r="B21" s="30" t="str">
        <x:v>000-1990-0000</x:v>
      </x:c>
      <x:c r="C21" s="30" t="str">
        <x:v>Migration Clearing Account</x:v>
      </x:c>
      <x:c r="D21" s="30" t="str">
        <x:v>Asset</x:v>
      </x:c>
      <x:c r="E21" s="30" t="str">
        <x:v>Current Assets</x:v>
      </x:c>
      <x:c r="F21" s="30" t="str">
        <x:v>No</x:v>
      </x:c>
      <x:c r="G21" s="30" t="str">
        <x:v>Yes</x:v>
      </x:c>
      <x:c r="H21" s="30" t="str">
        <x:v>No</x:v>
      </x:c>
      <x:c r="I21" s="30" t="str">
        <x:v>No</x:v>
      </x:c>
      <x:c r="J21" s="30" t="str">
        <x:v>Opening-balance migration offsets; expected to net to zero.</x:v>
      </x:c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  <x:c r="AA21" s="27"/>
      <x:c r="AB21" s="27"/>
    </x:row>
    <x:row r="22">
      <x:c r="A22" s="30" t="str">
        <x:v>2000</x:v>
      </x:c>
      <x:c r="B22" s="30" t="str">
        <x:v>000-2000-0000</x:v>
      </x:c>
      <x:c r="C22" s="30" t="str">
        <x:v>Accounts Payable</x:v>
      </x:c>
      <x:c r="D22" s="30" t="str">
        <x:v>Liability</x:v>
      </x:c>
      <x:c r="E22" s="30" t="str">
        <x:v>Current Liabilities</x:v>
      </x:c>
      <x:c r="F22" s="30" t="str">
        <x:v>Yes</x:v>
      </x:c>
      <x:c r="G22" s="30" t="str">
        <x:v>Yes</x:v>
      </x:c>
      <x:c r="H22" s="30" t="str">
        <x:v>No</x:v>
      </x:c>
      <x:c r="I22" s="30" t="str">
        <x:v>Yes</x:v>
      </x:c>
      <x:c r="J22" s="30" t="str">
        <x:v>AP control account; supplier subledger must reconcile to this.</x:v>
      </x:c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  <x:c r="AA22" s="27"/>
      <x:c r="AB22" s="27"/>
    </x:row>
    <x:row r="23">
      <x:c r="A23" s="30" t="str">
        <x:v>2100</x:v>
      </x:c>
      <x:c r="B23" s="30" t="str">
        <x:v>000-2100-0000</x:v>
      </x:c>
      <x:c r="C23" s="30" t="str">
        <x:v>Accrued Expenses</x:v>
      </x:c>
      <x:c r="D23" s="30" t="str">
        <x:v>Liability</x:v>
      </x:c>
      <x:c r="E23" s="30" t="str">
        <x:v>Current Liabilities</x:v>
      </x:c>
      <x:c r="F23" s="30" t="str">
        <x:v>No</x:v>
      </x:c>
      <x:c r="G23" s="30" t="str">
        <x:v>Yes</x:v>
      </x:c>
      <x:c r="H23" s="30" t="str">
        <x:v>No</x:v>
      </x:c>
      <x:c r="I23" s="30" t="str">
        <x:v>No</x:v>
      </x:c>
      <x:c r="J23" s="30" t="str">
        <x:v>GRV/accrual clearing account.</x:v>
      </x:c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  <x:c r="AA23" s="27"/>
      <x:c r="AB23" s="27"/>
    </x:row>
    <x:row r="24">
      <x:c r="A24" s="30" t="str">
        <x:v>2120</x:v>
      </x:c>
      <x:c r="B24" s="30" t="str">
        <x:v>000-2120-0000</x:v>
      </x:c>
      <x:c r="C24" s="30" t="str">
        <x:v>Accrued Payroll Payables</x:v>
      </x:c>
      <x:c r="D24" s="30" t="str">
        <x:v>Liability</x:v>
      </x:c>
      <x:c r="E24" s="30" t="str">
        <x:v>Current Liabilities</x:v>
      </x:c>
      <x:c r="F24" s="30" t="str">
        <x:v>No</x:v>
      </x:c>
      <x:c r="G24" s="30" t="str">
        <x:v>Yes</x:v>
      </x:c>
      <x:c r="H24" s="30" t="str">
        <x:v>No</x:v>
      </x:c>
      <x:c r="I24" s="30" t="str">
        <x:v>No</x:v>
      </x:c>
      <x:c r="J24" s="30" t="str">
        <x:v>Payroll liability account.</x:v>
      </x:c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  <x:c r="AA24" s="27"/>
      <x:c r="AB24" s="27"/>
    </x:row>
    <x:row r="25">
      <x:c r="A25" s="30" t="str">
        <x:v>2200</x:v>
      </x:c>
      <x:c r="B25" s="30" t="str">
        <x:v>000-2200-0000</x:v>
      </x:c>
      <x:c r="C25" s="30" t="str">
        <x:v>Tax/VAT Control</x:v>
      </x:c>
      <x:c r="D25" s="30" t="str">
        <x:v>Liability</x:v>
      </x:c>
      <x:c r="E25" s="30" t="str">
        <x:v>Current Liabilities</x:v>
      </x:c>
      <x:c r="F25" s="30" t="str">
        <x:v>Yes</x:v>
      </x:c>
      <x:c r="G25" s="30" t="str">
        <x:v>No</x:v>
      </x:c>
      <x:c r="H25" s="30" t="str">
        <x:v>No</x:v>
      </x:c>
      <x:c r="I25" s="30" t="str">
        <x:v>No</x:v>
      </x:c>
      <x:c r="J25" s="30" t="str">
        <x:v>VAT, levies, WHT and tax clearing; direct posting should be blocked.</x:v>
      </x:c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  <x:c r="AA25" s="27"/>
      <x:c r="AB25" s="27"/>
    </x:row>
    <x:row r="26">
      <x:c r="A26" s="30" t="str">
        <x:v>2500</x:v>
      </x:c>
      <x:c r="B26" s="30" t="str">
        <x:v>000-2500-0000</x:v>
      </x:c>
      <x:c r="C26" s="30" t="str">
        <x:v>Long-term Debt</x:v>
      </x:c>
      <x:c r="D26" s="30" t="str">
        <x:v>Liability</x:v>
      </x:c>
      <x:c r="E26" s="30" t="str">
        <x:v>Non-Current Liabilities</x:v>
      </x:c>
      <x:c r="F26" s="30" t="str">
        <x:v>No</x:v>
      </x:c>
      <x:c r="G26" s="30" t="str">
        <x:v>Yes</x:v>
      </x:c>
      <x:c r="H26" s="30" t="str">
        <x:v>No</x:v>
      </x:c>
      <x:c r="I26" s="30" t="str">
        <x:v>No</x:v>
      </x:c>
      <x:c r="J26" s="30" t="str">
        <x:v>Debt and lease liability fallback.</x:v>
      </x:c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  <x:c r="AA26" s="27"/>
      <x:c r="AB26" s="27"/>
    </x:row>
    <x:row r="27">
      <x:c r="A27" s="30" t="str">
        <x:v>3000</x:v>
      </x:c>
      <x:c r="B27" s="30" t="str">
        <x:v>000-3000-0000</x:v>
      </x:c>
      <x:c r="C27" s="30" t="str">
        <x:v>Share Capital</x:v>
      </x:c>
      <x:c r="D27" s="30" t="str">
        <x:v>Equity</x:v>
      </x:c>
      <x:c r="E27" s="30" t="str">
        <x:v>Equity</x:v>
      </x:c>
      <x:c r="F27" s="30" t="str">
        <x:v>No</x:v>
      </x:c>
      <x:c r="G27" s="30" t="str">
        <x:v>Yes</x:v>
      </x:c>
      <x:c r="H27" s="30" t="str">
        <x:v>No</x:v>
      </x:c>
      <x:c r="I27" s="30" t="str">
        <x:v>No</x:v>
      </x:c>
      <x:c r="J27" s="30" t="str">
        <x:v>Opening equity.</x:v>
      </x:c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  <x:c r="AA27" s="27"/>
      <x:c r="AB27" s="27"/>
    </x:row>
    <x:row r="28">
      <x:c r="A28" s="30" t="str">
        <x:v>3100</x:v>
      </x:c>
      <x:c r="B28" s="30" t="str">
        <x:v>000-3100-0000</x:v>
      </x:c>
      <x:c r="C28" s="30" t="str">
        <x:v>Retained Earnings</x:v>
      </x:c>
      <x:c r="D28" s="30" t="str">
        <x:v>Equity</x:v>
      </x:c>
      <x:c r="E28" s="30" t="str">
        <x:v>Equity</x:v>
      </x:c>
      <x:c r="F28" s="30" t="str">
        <x:v>No</x:v>
      </x:c>
      <x:c r="G28" s="30" t="str">
        <x:v>No</x:v>
      </x:c>
      <x:c r="H28" s="30" t="str">
        <x:v>No</x:v>
      </x:c>
      <x:c r="I28" s="30" t="str">
        <x:v>No</x:v>
      </x:c>
      <x:c r="J28" s="30" t="str">
        <x:v>Opening retained earnings; direct posting should be blocked after setup.</x:v>
      </x:c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  <x:c r="AA28" s="27"/>
      <x:c r="AB28" s="27"/>
    </x:row>
    <x:row r="29">
      <x:c r="A29" s="30" t="str">
        <x:v>4000</x:v>
      </x:c>
      <x:c r="B29" s="30" t="str">
        <x:v>000-4000-0000</x:v>
      </x:c>
      <x:c r="C29" s="30" t="str">
        <x:v>Sales Revenue</x:v>
      </x:c>
      <x:c r="D29" s="30" t="str">
        <x:v>Revenue</x:v>
      </x:c>
      <x:c r="E29" s="30" t="str">
        <x:v>Revenue</x:v>
      </x:c>
      <x:c r="F29" s="30" t="str">
        <x:v>No</x:v>
      </x:c>
      <x:c r="G29" s="30" t="str">
        <x:v>Yes</x:v>
      </x:c>
      <x:c r="H29" s="30" t="str">
        <x:v>Yes</x:v>
      </x:c>
      <x:c r="I29" s="30" t="str">
        <x:v>Yes</x:v>
      </x:c>
      <x:c r="J29" s="30" t="str">
        <x:v>Product sales and sales budget tests.</x:v>
      </x:c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  <x:c r="AA29" s="27"/>
      <x:c r="AB29" s="27"/>
    </x:row>
    <x:row r="30">
      <x:c r="A30" s="30" t="str">
        <x:v>4100</x:v>
      </x:c>
      <x:c r="B30" s="30" t="str">
        <x:v>000-4100-0000</x:v>
      </x:c>
      <x:c r="C30" s="30" t="str">
        <x:v>Service Revenue</x:v>
      </x:c>
      <x:c r="D30" s="30" t="str">
        <x:v>Revenue</x:v>
      </x:c>
      <x:c r="E30" s="30" t="str">
        <x:v>Revenue</x:v>
      </x:c>
      <x:c r="F30" s="30" t="str">
        <x:v>No</x:v>
      </x:c>
      <x:c r="G30" s="30" t="str">
        <x:v>Yes</x:v>
      </x:c>
      <x:c r="H30" s="30" t="str">
        <x:v>Yes</x:v>
      </x:c>
      <x:c r="I30" s="30" t="str">
        <x:v>Yes</x:v>
      </x:c>
      <x:c r="J30" s="30" t="str">
        <x:v>Service invoice and revenue budget tests.</x:v>
      </x:c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  <x:c r="AA30" s="27"/>
      <x:c r="AB30" s="27"/>
    </x:row>
    <x:row r="31">
      <x:c r="A31" s="30" t="str">
        <x:v>4210</x:v>
      </x:c>
      <x:c r="B31" s="30" t="str">
        <x:v>000-4210-0000</x:v>
      </x:c>
      <x:c r="C31" s="30" t="str">
        <x:v>Sales Discounts Allowed</x:v>
      </x:c>
      <x:c r="D31" s="30" t="str">
        <x:v>Revenue</x:v>
      </x:c>
      <x:c r="E31" s="30" t="str">
        <x:v>Revenue Deductions</x:v>
      </x:c>
      <x:c r="F31" s="30" t="str">
        <x:v>No</x:v>
      </x:c>
      <x:c r="G31" s="30" t="str">
        <x:v>Yes</x:v>
      </x:c>
      <x:c r="H31" s="30" t="str">
        <x:v>Yes</x:v>
      </x:c>
      <x:c r="I31" s="30" t="str">
        <x:v>Yes</x:v>
      </x:c>
      <x:c r="J31" s="30" t="str">
        <x:v>Contra-revenue discount account. If missing in test DB, rerun latest finance seeder/migration.</x:v>
      </x:c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  <x:c r="AA31" s="27"/>
      <x:c r="AB31" s="27"/>
    </x:row>
    <x:row r="32">
      <x:c r="A32" s="30" t="str">
        <x:v>4900</x:v>
      </x:c>
      <x:c r="B32" s="30" t="str">
        <x:v>000-4900-0000</x:v>
      </x:c>
      <x:c r="C32" s="30" t="str">
        <x:v>Other Income</x:v>
      </x:c>
      <x:c r="D32" s="30" t="str">
        <x:v>Revenue</x:v>
      </x:c>
      <x:c r="E32" s="30" t="str">
        <x:v>Other Income</x:v>
      </x:c>
      <x:c r="F32" s="30" t="str">
        <x:v>No</x:v>
      </x:c>
      <x:c r="G32" s="30" t="str">
        <x:v>Yes</x:v>
      </x:c>
      <x:c r="H32" s="30" t="str">
        <x:v>No</x:v>
      </x:c>
      <x:c r="I32" s="30" t="str">
        <x:v>No</x:v>
      </x:c>
      <x:c r="J32" s="30" t="str">
        <x:v>Bank interest and disposal gain fallback.</x:v>
      </x:c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  <x:c r="AA32" s="27"/>
      <x:c r="AB32" s="27"/>
    </x:row>
    <x:row r="33">
      <x:c r="A33" s="30" t="str">
        <x:v>4910</x:v>
      </x:c>
      <x:c r="B33" s="30" t="str">
        <x:v>000-4910-0000</x:v>
      </x:c>
      <x:c r="C33" s="30" t="str">
        <x:v>Purchase Discounts Received</x:v>
      </x:c>
      <x:c r="D33" s="30" t="str">
        <x:v>Revenue</x:v>
      </x:c>
      <x:c r="E33" s="30" t="str">
        <x:v>Other Income</x:v>
      </x:c>
      <x:c r="F33" s="30" t="str">
        <x:v>No</x:v>
      </x:c>
      <x:c r="G33" s="30" t="str">
        <x:v>Yes</x:v>
      </x:c>
      <x:c r="H33" s="30" t="str">
        <x:v>No</x:v>
      </x:c>
      <x:c r="I33" s="30" t="str">
        <x:v>Yes</x:v>
      </x:c>
      <x:c r="J33" s="30" t="str">
        <x:v>Supplier settlement discounts. If missing, rerun latest finance seeder/migration.</x:v>
      </x:c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  <x:c r="AA33" s="27"/>
      <x:c r="AB33" s="27"/>
    </x:row>
    <x:row r="34">
      <x:c r="A34" s="30" t="str">
        <x:v>4920</x:v>
      </x:c>
      <x:c r="B34" s="30" t="str">
        <x:v>000-4920-0000</x:v>
      </x:c>
      <x:c r="C34" s="30" t="str">
        <x:v>Payroll Recoveries and Interest Income</x:v>
      </x:c>
      <x:c r="D34" s="30" t="str">
        <x:v>Revenue</x:v>
      </x:c>
      <x:c r="E34" s="30" t="str">
        <x:v>Other Income</x:v>
      </x:c>
      <x:c r="F34" s="30" t="str">
        <x:v>No</x:v>
      </x:c>
      <x:c r="G34" s="30" t="str">
        <x:v>Yes</x:v>
      </x:c>
      <x:c r="H34" s="30" t="str">
        <x:v>No</x:v>
      </x:c>
      <x:c r="I34" s="30" t="str">
        <x:v>No</x:v>
      </x:c>
      <x:c r="J34" s="30" t="str">
        <x:v>Payroll recovery income.</x:v>
      </x:c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  <x:c r="AA34" s="27"/>
      <x:c r="AB34" s="27"/>
    </x:row>
    <x:row r="35">
      <x:c r="A35" s="30" t="str">
        <x:v>7100</x:v>
      </x:c>
      <x:c r="B35" s="30" t="str">
        <x:v>000-7100-0000</x:v>
      </x:c>
      <x:c r="C35" s="30" t="str">
        <x:v>Unrealized Exchange Gain</x:v>
      </x:c>
      <x:c r="D35" s="30" t="str">
        <x:v>Revenue</x:v>
      </x:c>
      <x:c r="E35" s="30" t="str">
        <x:v>Other Income</x:v>
      </x:c>
      <x:c r="F35" s="30" t="str">
        <x:v>No</x:v>
      </x:c>
      <x:c r="G35" s="30" t="str">
        <x:v>No</x:v>
      </x:c>
      <x:c r="H35" s="30" t="str">
        <x:v>No</x:v>
      </x:c>
      <x:c r="I35" s="30" t="str">
        <x:v>No</x:v>
      </x:c>
      <x:c r="J35" s="30" t="str">
        <x:v>FX revaluation gain.</x:v>
      </x:c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  <x:c r="AA35" s="27"/>
      <x:c r="AB35" s="27"/>
    </x:row>
    <x:row r="36">
      <x:c r="A36" s="30" t="str">
        <x:v>7110</x:v>
      </x:c>
      <x:c r="B36" s="30" t="str">
        <x:v>000-7110-0000</x:v>
      </x:c>
      <x:c r="C36" s="30" t="str">
        <x:v>Unrealized Exchange Loss</x:v>
      </x:c>
      <x:c r="D36" s="30" t="str">
        <x:v>Expense</x:v>
      </x:c>
      <x:c r="E36" s="30" t="str">
        <x:v>Other Expenses</x:v>
      </x:c>
      <x:c r="F36" s="30" t="str">
        <x:v>No</x:v>
      </x:c>
      <x:c r="G36" s="30" t="str">
        <x:v>No</x:v>
      </x:c>
      <x:c r="H36" s="30" t="str">
        <x:v>No</x:v>
      </x:c>
      <x:c r="I36" s="30" t="str">
        <x:v>No</x:v>
      </x:c>
      <x:c r="J36" s="30" t="str">
        <x:v>FX revaluation loss. If missing, rerun latest finance seeder/migration.</x:v>
      </x:c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  <x:c r="AA36" s="27"/>
      <x:c r="AB36" s="27"/>
    </x:row>
    <x:row r="37">
      <x:c r="A37" s="30" t="str">
        <x:v>7200</x:v>
      </x:c>
      <x:c r="B37" s="30" t="str">
        <x:v>000-7200-0000</x:v>
      </x:c>
      <x:c r="C37" s="30" t="str">
        <x:v>Realized Exchange Gain</x:v>
      </x:c>
      <x:c r="D37" s="30" t="str">
        <x:v>Revenue</x:v>
      </x:c>
      <x:c r="E37" s="30" t="str">
        <x:v>Other Income</x:v>
      </x:c>
      <x:c r="F37" s="30" t="str">
        <x:v>No</x:v>
      </x:c>
      <x:c r="G37" s="30" t="str">
        <x:v>No</x:v>
      </x:c>
      <x:c r="H37" s="30" t="str">
        <x:v>No</x:v>
      </x:c>
      <x:c r="I37" s="30" t="str">
        <x:v>No</x:v>
      </x:c>
      <x:c r="J37" s="30" t="str">
        <x:v>FX settlement gain.</x:v>
      </x:c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  <x:c r="AA37" s="27"/>
      <x:c r="AB37" s="27"/>
    </x:row>
    <x:row r="38">
      <x:c r="A38" s="30" t="str">
        <x:v>7210</x:v>
      </x:c>
      <x:c r="B38" s="30" t="str">
        <x:v>000-7210-0000</x:v>
      </x:c>
      <x:c r="C38" s="30" t="str">
        <x:v>Realized Exchange Loss</x:v>
      </x:c>
      <x:c r="D38" s="30" t="str">
        <x:v>Expense</x:v>
      </x:c>
      <x:c r="E38" s="30" t="str">
        <x:v>Other Expenses</x:v>
      </x:c>
      <x:c r="F38" s="30" t="str">
        <x:v>No</x:v>
      </x:c>
      <x:c r="G38" s="30" t="str">
        <x:v>No</x:v>
      </x:c>
      <x:c r="H38" s="30" t="str">
        <x:v>No</x:v>
      </x:c>
      <x:c r="I38" s="30" t="str">
        <x:v>No</x:v>
      </x:c>
      <x:c r="J38" s="30" t="str">
        <x:v>FX settlement loss. If missing, rerun latest finance seeder/migration.</x:v>
      </x:c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  <x:c r="AA38" s="27"/>
      <x:c r="AB38" s="27"/>
    </x:row>
    <x:row r="39">
      <x:c r="A39" s="30" t="str">
        <x:v>5000</x:v>
      </x:c>
      <x:c r="B39" s="30" t="str">
        <x:v>000-5000-0000</x:v>
      </x:c>
      <x:c r="C39" s="30" t="str">
        <x:v>Cost of Goods Sold</x:v>
      </x:c>
      <x:c r="D39" s="30" t="str">
        <x:v>Expense</x:v>
      </x:c>
      <x:c r="E39" s="30" t="str">
        <x:v>Expense</x:v>
      </x:c>
      <x:c r="F39" s="30" t="str">
        <x:v>No</x:v>
      </x:c>
      <x:c r="G39" s="30" t="str">
        <x:v>Yes</x:v>
      </x:c>
      <x:c r="H39" s="30" t="str">
        <x:v>Yes</x:v>
      </x:c>
      <x:c r="I39" s="30" t="str">
        <x:v>No</x:v>
      </x:c>
      <x:c r="J39" s="30" t="str">
        <x:v>COGS and inventory issue tests.</x:v>
      </x:c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  <x:c r="AA39" s="27"/>
      <x:c r="AB39" s="27"/>
    </x:row>
    <x:row r="40">
      <x:c r="A40" s="30" t="str">
        <x:v>6000</x:v>
      </x:c>
      <x:c r="B40" s="30" t="str">
        <x:v>000-6000-0000</x:v>
      </x:c>
      <x:c r="C40" s="30" t="str">
        <x:v>Salaries and Wages</x:v>
      </x:c>
      <x:c r="D40" s="30" t="str">
        <x:v>Expense</x:v>
      </x:c>
      <x:c r="E40" s="30" t="str">
        <x:v>Expense</x:v>
      </x:c>
      <x:c r="F40" s="30" t="str">
        <x:v>No</x:v>
      </x:c>
      <x:c r="G40" s="30" t="str">
        <x:v>Yes</x:v>
      </x:c>
      <x:c r="H40" s="30" t="str">
        <x:v>Yes</x:v>
      </x:c>
      <x:c r="I40" s="30" t="str">
        <x:v>No</x:v>
      </x:c>
      <x:c r="J40" s="30" t="str">
        <x:v>Payroll and budget tests.</x:v>
      </x:c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  <x:c r="AA40" s="27"/>
      <x:c r="AB40" s="27"/>
    </x:row>
    <x:row r="41">
      <x:c r="A41" s="30" t="str">
        <x:v>6020</x:v>
      </x:c>
      <x:c r="B41" s="30" t="str">
        <x:v>000-6020-0000</x:v>
      </x:c>
      <x:c r="C41" s="30" t="str">
        <x:v>Salaries, Wages and Payroll Costs</x:v>
      </x:c>
      <x:c r="D41" s="30" t="str">
        <x:v>Expense</x:v>
      </x:c>
      <x:c r="E41" s="30" t="str">
        <x:v>Operating Expenses</x:v>
      </x:c>
      <x:c r="F41" s="30" t="str">
        <x:v>No</x:v>
      </x:c>
      <x:c r="G41" s="30" t="str">
        <x:v>Yes</x:v>
      </x:c>
      <x:c r="H41" s="30" t="str">
        <x:v>Yes</x:v>
      </x:c>
      <x:c r="I41" s="30" t="str">
        <x:v>No</x:v>
      </x:c>
      <x:c r="J41" s="30" t="str">
        <x:v>Payroll posting service tests.</x:v>
      </x:c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  <x:c r="AA41" s="27"/>
      <x:c r="AB41" s="27"/>
    </x:row>
    <x:row r="42">
      <x:c r="A42" s="30" t="str">
        <x:v>6100</x:v>
      </x:c>
      <x:c r="B42" s="30" t="str">
        <x:v>000-6100-0000</x:v>
      </x:c>
      <x:c r="C42" s="30" t="str">
        <x:v>Rent Expense</x:v>
      </x:c>
      <x:c r="D42" s="30" t="str">
        <x:v>Expense</x:v>
      </x:c>
      <x:c r="E42" s="30" t="str">
        <x:v>Expense</x:v>
      </x:c>
      <x:c r="F42" s="30" t="str">
        <x:v>No</x:v>
      </x:c>
      <x:c r="G42" s="30" t="str">
        <x:v>Yes</x:v>
      </x:c>
      <x:c r="H42" s="30" t="str">
        <x:v>Yes</x:v>
      </x:c>
      <x:c r="I42" s="30" t="str">
        <x:v>No</x:v>
      </x:c>
      <x:c r="J42" s="30" t="str">
        <x:v>Rent and accrual tests.</x:v>
      </x:c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  <x:c r="AA42" s="27"/>
      <x:c r="AB42" s="27"/>
    </x:row>
    <x:row r="43">
      <x:c r="A43" s="30" t="str">
        <x:v>6200</x:v>
      </x:c>
      <x:c r="B43" s="30" t="str">
        <x:v>000-6200-0000</x:v>
      </x:c>
      <x:c r="C43" s="30" t="str">
        <x:v>Utilities Expense</x:v>
      </x:c>
      <x:c r="D43" s="30" t="str">
        <x:v>Expense</x:v>
      </x:c>
      <x:c r="E43" s="30" t="str">
        <x:v>Expense</x:v>
      </x:c>
      <x:c r="F43" s="30" t="str">
        <x:v>No</x:v>
      </x:c>
      <x:c r="G43" s="30" t="str">
        <x:v>Yes</x:v>
      </x:c>
      <x:c r="H43" s="30" t="str">
        <x:v>Yes</x:v>
      </x:c>
      <x:c r="I43" s="30" t="str">
        <x:v>No</x:v>
      </x:c>
      <x:c r="J43" s="30" t="str">
        <x:v>Utilities AP invoice tests.</x:v>
      </x:c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  <x:c r="AA43" s="27"/>
      <x:c r="AB43" s="27"/>
    </x:row>
    <x:row r="44">
      <x:c r="A44" s="30" t="str">
        <x:v>6300</x:v>
      </x:c>
      <x:c r="B44" s="30" t="str">
        <x:v>000-6300-0000</x:v>
      </x:c>
      <x:c r="C44" s="30" t="str">
        <x:v>Depreciation Expense</x:v>
      </x:c>
      <x:c r="D44" s="30" t="str">
        <x:v>Expense</x:v>
      </x:c>
      <x:c r="E44" s="30" t="str">
        <x:v>Expense</x:v>
      </x:c>
      <x:c r="F44" s="30" t="str">
        <x:v>No</x:v>
      </x:c>
      <x:c r="G44" s="30" t="str">
        <x:v>Yes</x:v>
      </x:c>
      <x:c r="H44" s="30" t="str">
        <x:v>No</x:v>
      </x:c>
      <x:c r="I44" s="30" t="str">
        <x:v>No</x:v>
      </x:c>
      <x:c r="J44" s="30" t="str">
        <x:v>Depreciation and impairment fallback.</x:v>
      </x:c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  <x:c r="AA44" s="27"/>
      <x:c r="AB44" s="27"/>
    </x:row>
    <x:row r="45">
      <x:c r="A45" s="30" t="str">
        <x:v>6400</x:v>
      </x:c>
      <x:c r="B45" s="30" t="str">
        <x:v>000-6400-0000</x:v>
      </x:c>
      <x:c r="C45" s="30" t="str">
        <x:v>Marketing and Advertising</x:v>
      </x:c>
      <x:c r="D45" s="30" t="str">
        <x:v>Expense</x:v>
      </x:c>
      <x:c r="E45" s="30" t="str">
        <x:v>Expense</x:v>
      </x:c>
      <x:c r="F45" s="30" t="str">
        <x:v>No</x:v>
      </x:c>
      <x:c r="G45" s="30" t="str">
        <x:v>Yes</x:v>
      </x:c>
      <x:c r="H45" s="30" t="str">
        <x:v>Yes</x:v>
      </x:c>
      <x:c r="I45" s="30" t="str">
        <x:v>No</x:v>
      </x:c>
      <x:c r="J45" s="30" t="str">
        <x:v>Opex budget tests.</x:v>
      </x:c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  <x:c r="AA45" s="27"/>
      <x:c r="AB45" s="27"/>
    </x:row>
    <x:row r="46">
      <x:c r="A46" s="30" t="str">
        <x:v>6500</x:v>
      </x:c>
      <x:c r="B46" s="30" t="str">
        <x:v>000-6500-0000</x:v>
      </x:c>
      <x:c r="C46" s="30" t="str">
        <x:v>Professional Fees</x:v>
      </x:c>
      <x:c r="D46" s="30" t="str">
        <x:v>Expense</x:v>
      </x:c>
      <x:c r="E46" s="30" t="str">
        <x:v>Expense</x:v>
      </x:c>
      <x:c r="F46" s="30" t="str">
        <x:v>No</x:v>
      </x:c>
      <x:c r="G46" s="30" t="str">
        <x:v>Yes</x:v>
      </x:c>
      <x:c r="H46" s="30" t="str">
        <x:v>Yes</x:v>
      </x:c>
      <x:c r="I46" s="30" t="str">
        <x:v>No</x:v>
      </x:c>
      <x:c r="J46" s="30" t="str">
        <x:v>Professional services, bank charges, allocation source.</x:v>
      </x:c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  <x:c r="AA46" s="27"/>
      <x:c r="AB46" s="27"/>
    </x:row>
    <x:row r="47">
      <x:c r="A47" s="30" t="str">
        <x:v>9999</x:v>
      </x:c>
      <x:c r="B47" s="30" t="str">
        <x:v>000-9999-0000</x:v>
      </x:c>
      <x:c r="C47" s="30" t="str">
        <x:v>Suspense Account</x:v>
      </x:c>
      <x:c r="D47" s="30" t="str">
        <x:v>Asset</x:v>
      </x:c>
      <x:c r="E47" s="30" t="str">
        <x:v>Current Assets</x:v>
      </x:c>
      <x:c r="F47" s="30" t="str">
        <x:v>No</x:v>
      </x:c>
      <x:c r="G47" s="30" t="str">
        <x:v>Yes</x:v>
      </x:c>
      <x:c r="H47" s="30" t="str">
        <x:v>No</x:v>
      </x:c>
      <x:c r="I47" s="30" t="str">
        <x:v>No</x:v>
      </x:c>
      <x:c r="J47" s="30" t="str">
        <x:v>Exception/unallocated transaction tests.</x:v>
      </x:c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  <x:c r="AA47" s="27"/>
      <x:c r="AB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  <x:c r="AA48" s="27"/>
      <x:c r="AB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  <x:c r="AA49" s="27"/>
      <x:c r="AB49" s="27"/>
    </x:row>
    <x:row r="50">
      <x:c r="A50" s="31" t="str">
        <x:v>Partner Code</x:v>
      </x:c>
      <x:c r="B50" s="31" t="str">
        <x:v>Name</x:v>
      </x:c>
      <x:c r="C50" s="31" t="str">
        <x:v>Type</x:v>
      </x:c>
      <x:c r="D50" s="31" t="str">
        <x:v>Status</x:v>
      </x:c>
      <x:c r="E50" s="31" t="str">
        <x:v>Currency</x:v>
      </x:c>
      <x:c r="F50" s="31" t="str">
        <x:v>Testing Usage</x:v>
      </x:c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  <x:c r="AA50" s="27"/>
      <x:c r="AB50" s="27"/>
    </x:row>
    <x:row r="51">
      <x:c r="A51" s="30" t="str">
        <x:v>CONT-GH-ADOM-BUILD</x:v>
      </x:c>
      <x:c r="B51" s="30" t="str">
        <x:v>Adom Construction Ltd</x:v>
      </x:c>
      <x:c r="C51" s="30" t="str">
        <x:v>Contractor</x:v>
      </x:c>
      <x:c r="D51" s="30" t="str">
        <x:v>Approved</x:v>
      </x:c>
      <x:c r="E51" s="30" t="str">
        <x:v>GHS</x:v>
      </x:c>
      <x:c r="F51" s="30" t="str">
        <x:v>Use for local construction/AP and fixed asset work.</x:v>
      </x:c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  <x:c r="AA51" s="27"/>
      <x:c r="AB51" s="27"/>
    </x:row>
    <x:row r="52">
      <x:c r="A52" s="30" t="str">
        <x:v>CUS260001</x:v>
      </x:c>
      <x:c r="B52" s="30" t="str">
        <x:v>USD Customer</x:v>
      </x:c>
      <x:c r="C52" s="30" t="str">
        <x:v>Customer</x:v>
      </x:c>
      <x:c r="D52" s="30" t="str">
        <x:v>Active/Approved</x:v>
      </x:c>
      <x:c r="E52" s="30" t="str">
        <x:v>USD</x:v>
      </x:c>
      <x:c r="F52" s="30" t="str">
        <x:v>Use for foreign-currency AR invoice and realized FX tests.</x:v>
      </x:c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  <x:c r="AA52" s="27"/>
      <x:c r="AB52" s="27"/>
    </x:row>
    <x:row r="53">
      <x:c r="A53" s="30" t="str">
        <x:v>CUST-DEMO-PM</x:v>
      </x:c>
      <x:c r="B53" s="30" t="str">
        <x:v>Northwind Transformation Group</x:v>
      </x:c>
      <x:c r="C53" s="30" t="str">
        <x:v>Customer</x:v>
      </x:c>
      <x:c r="D53" s="30" t="str">
        <x:v>Approved</x:v>
      </x:c>
      <x:c r="E53" s="30" t="str">
        <x:v>GHS</x:v>
      </x:c>
      <x:c r="F53" s="30" t="str">
        <x:v>Use for management/service billing tests.</x:v>
      </x:c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  <x:c r="AA53" s="27"/>
      <x:c r="AB53" s="27"/>
    </x:row>
    <x:row r="54">
      <x:c r="A54" s="30" t="str">
        <x:v>CUST-GH-AMA-MENSAH</x:v>
      </x:c>
      <x:c r="B54" s="30" t="str">
        <x:v>Ama Mensah</x:v>
      </x:c>
      <x:c r="C54" s="30" t="str">
        <x:v>Customer</x:v>
      </x:c>
      <x:c r="D54" s="30" t="str">
        <x:v>Approved</x:v>
      </x:c>
      <x:c r="E54" s="30" t="str">
        <x:v>GHS</x:v>
      </x:c>
      <x:c r="F54" s="30" t="str">
        <x:v>Use for consumer/simple AR tests.</x:v>
      </x:c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  <x:c r="AA54" s="27"/>
      <x:c r="AB54" s="27"/>
    </x:row>
    <x:row r="55">
      <x:c r="A55" s="30" t="str">
        <x:v>CUST-GH-GOLDCOAST</x:v>
      </x:c>
      <x:c r="B55" s="30" t="str">
        <x:v>Golden Coast Homes Ltd</x:v>
      </x:c>
      <x:c r="C55" s="30" t="str">
        <x:v>Customer</x:v>
      </x:c>
      <x:c r="D55" s="30" t="str">
        <x:v>Approved</x:v>
      </x:c>
      <x:c r="E55" s="30" t="str">
        <x:v>GHS</x:v>
      </x:c>
      <x:c r="F55" s="30" t="str">
        <x:v>Use for local corporate AR, WHT certificate, statement tests.</x:v>
      </x:c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  <x:c r="AA55" s="27"/>
      <x:c r="AB55" s="27"/>
    </x:row>
    <x:row r="56">
      <x:c r="A56" s="30" t="str">
        <x:v>CUST-GH-KWESI-OWUSU</x:v>
      </x:c>
      <x:c r="B56" s="30" t="str">
        <x:v>Kwesi Owusu</x:v>
      </x:c>
      <x:c r="C56" s="30" t="str">
        <x:v>Customer</x:v>
      </x:c>
      <x:c r="D56" s="30" t="str">
        <x:v>Approved</x:v>
      </x:c>
      <x:c r="E56" s="30" t="str">
        <x:v>GHS</x:v>
      </x:c>
      <x:c r="F56" s="30" t="str">
        <x:v>Use for credit note/collection tests.</x:v>
      </x:c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  <x:c r="AA56" s="27"/>
      <x:c r="AB56" s="27"/>
    </x:row>
    <x:row r="57">
      <x:c r="A57" s="30" t="str">
        <x:v>SUP260001</x:v>
      </x:c>
      <x:c r="B57" s="30" t="str">
        <x:v>USD Supplier</x:v>
      </x:c>
      <x:c r="C57" s="30" t="str">
        <x:v>Supplier</x:v>
      </x:c>
      <x:c r="D57" s="30" t="str">
        <x:v>Active/Approved</x:v>
      </x:c>
      <x:c r="E57" s="30" t="str">
        <x:v>USD</x:v>
      </x:c>
      <x:c r="F57" s="30" t="str">
        <x:v>Use for AP foreign-currency, WHT, and asset purchase tests.</x:v>
      </x:c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  <x:c r="AA57" s="27"/>
      <x:c r="AB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  <x:c r="AA58" s="27"/>
      <x:c r="AB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  <x:c r="AA59" s="27"/>
      <x:c r="AB59" s="27"/>
    </x:row>
    <x:row r="60">
      <x:c r="A60" s="31" t="str">
        <x:v>Payment Term</x:v>
      </x:c>
      <x:c r="B60" s="31" t="str">
        <x:v>Name</x:v>
      </x:c>
      <x:c r="C60" s="31" t="str">
        <x:v>Due Days</x:v>
      </x:c>
      <x:c r="D60" s="31" t="str">
        <x:v>Discount %</x:v>
      </x:c>
      <x:c r="E60" s="31" t="str">
        <x:v>Discount Days</x:v>
      </x:c>
      <x:c r="F60" s="31" t="str">
        <x:v>Usage Notes</x:v>
      </x:c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  <x:c r="AA60" s="27"/>
      <x:c r="AB60" s="27"/>
    </x:row>
    <x:row r="61">
      <x:c r="A61" s="30" t="str">
        <x:v>NET30</x:v>
      </x:c>
      <x:c r="B61" s="30" t="str">
        <x:v>Net 30 Days</x:v>
      </x:c>
      <x:c r="C61" s="30" t="n">
        <x:v>30</x:v>
      </x:c>
      <x:c r="D61" s="30" t="n">
        <x:v>0</x:v>
      </x:c>
      <x:c r="E61" s="30" t="n">
        <x:v>0</x:v>
      </x:c>
      <x:c r="F61" s="30" t="str">
        <x:v>Default all-purpose term.</x:v>
      </x:c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  <x:c r="AA61" s="27"/>
      <x:c r="AB61" s="27"/>
    </x:row>
    <x:row r="62">
      <x:c r="A62" s="30" t="str">
        <x:v>COD</x:v>
      </x:c>
      <x:c r="B62" s="30" t="str">
        <x:v>Cash on Delivery</x:v>
      </x:c>
      <x:c r="C62" s="30" t="n">
        <x:v>0</x:v>
      </x:c>
      <x:c r="D62" s="30" t="n">
        <x:v>0</x:v>
      </x:c>
      <x:c r="E62" s="30" t="n">
        <x:v>0</x:v>
      </x:c>
      <x:c r="F62" s="30" t="str">
        <x:v>Immediate due date.</x:v>
      </x:c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  <x:c r="AA62" s="27"/>
      <x:c r="AB62" s="27"/>
    </x:row>
    <x:row r="63">
      <x:c r="A63" s="30" t="str">
        <x:v>NET7</x:v>
      </x:c>
      <x:c r="B63" s="30" t="str">
        <x:v>Net 7 Days</x:v>
      </x:c>
      <x:c r="C63" s="30" t="n">
        <x:v>7</x:v>
      </x:c>
      <x:c r="D63" s="30" t="n">
        <x:v>0</x:v>
      </x:c>
      <x:c r="E63" s="30" t="n">
        <x:v>0</x:v>
      </x:c>
      <x:c r="F63" s="30" t="str">
        <x:v>Short payment cycle.</x:v>
      </x:c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  <x:c r="AA63" s="27"/>
      <x:c r="AB63" s="27"/>
    </x:row>
    <x:row r="64">
      <x:c r="A64" s="30" t="str">
        <x:v>NET15</x:v>
      </x:c>
      <x:c r="B64" s="30" t="str">
        <x:v>Net 15 Days</x:v>
      </x:c>
      <x:c r="C64" s="30" t="n">
        <x:v>15</x:v>
      </x:c>
      <x:c r="D64" s="30" t="n">
        <x:v>0</x:v>
      </x:c>
      <x:c r="E64" s="30" t="n">
        <x:v>0</x:v>
      </x:c>
      <x:c r="F64" s="30" t="str">
        <x:v>Mid-month settlement.</x:v>
      </x:c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  <x:c r="AA64" s="27"/>
      <x:c r="AB64" s="27"/>
    </x:row>
    <x:row r="65">
      <x:c r="A65" s="30" t="str">
        <x:v>NET45</x:v>
      </x:c>
      <x:c r="B65" s="30" t="str">
        <x:v>Net 45 Days</x:v>
      </x:c>
      <x:c r="C65" s="30" t="n">
        <x:v>45</x:v>
      </x:c>
      <x:c r="D65" s="30" t="n">
        <x:v>0</x:v>
      </x:c>
      <x:c r="E65" s="30" t="n">
        <x:v>0</x:v>
      </x:c>
      <x:c r="F65" s="30" t="str">
        <x:v>Extended customer/supplier term.</x:v>
      </x:c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  <x:c r="AA65" s="27"/>
      <x:c r="AB65" s="27"/>
    </x:row>
    <x:row r="66">
      <x:c r="A66" s="30" t="str">
        <x:v>NET60</x:v>
      </x:c>
      <x:c r="B66" s="30" t="str">
        <x:v>Net 60 Days</x:v>
      </x:c>
      <x:c r="C66" s="30" t="n">
        <x:v>60</x:v>
      </x:c>
      <x:c r="D66" s="30" t="n">
        <x:v>0</x:v>
      </x:c>
      <x:c r="E66" s="30" t="n">
        <x:v>0</x:v>
      </x:c>
      <x:c r="F66" s="30" t="str">
        <x:v>Long term.</x:v>
      </x:c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  <x:c r="AA66" s="27"/>
      <x:c r="AB66" s="27"/>
    </x:row>
    <x:row r="67">
      <x:c r="A67" s="30" t="str">
        <x:v>2_10_NET30</x:v>
      </x:c>
      <x:c r="B67" s="30" t="str">
        <x:v>2/10 Net 30</x:v>
      </x:c>
      <x:c r="C67" s="30" t="n">
        <x:v>30</x:v>
      </x:c>
      <x:c r="D67" s="30" t="n">
        <x:v>2</x:v>
      </x:c>
      <x:c r="E67" s="30" t="n">
        <x:v>10</x:v>
      </x:c>
      <x:c r="F67" s="30" t="str">
        <x:v>2% early-payment discount within 10 days.</x:v>
      </x:c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  <x:c r="AA67" s="27"/>
      <x:c r="AB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  <x:c r="AA68" s="27"/>
      <x:c r="AB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  <x:c r="AA69" s="27"/>
      <x:c r="AB69" s="27"/>
    </x:row>
    <x:row r="70">
      <x:c r="A70" s="31" t="str">
        <x:v>Tax Code/Group</x:v>
      </x:c>
      <x:c r="B70" s="31" t="str">
        <x:v>Applicability</x:v>
      </x:c>
      <x:c r="C70" s="31" t="str">
        <x:v>Description</x:v>
      </x:c>
      <x:c r="D70" s="31" t="str">
        <x:v>Rate %</x:v>
      </x:c>
      <x:c r="E70" s="31" t="str">
        <x:v>Testing Notes</x:v>
      </x:c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  <x:c r="AA70" s="27"/>
      <x:c r="AB70" s="27"/>
    </x:row>
    <x:row r="71">
      <x:c r="A71" s="30" t="str">
        <x:v>VAT-STD-SCHEME</x:v>
      </x:c>
      <x:c r="B71" s="30" t="str">
        <x:v>Sales</x:v>
      </x:c>
      <x:c r="C71" s="30" t="str">
        <x:v>NHIL 2.5% + GETFund 2.5% + VAT 15%</x:v>
      </x:c>
      <x:c r="D71" s="30" t="n">
        <x:v>20</x:v>
      </x:c>
      <x:c r="E71" s="30" t="str">
        <x:v>Output VAT/levy should credit 2200; COVID component is inactive.</x:v>
      </x:c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  <x:c r="AA71" s="27"/>
      <x:c r="AB71" s="27"/>
    </x:row>
    <x:row r="72">
      <x:c r="A72" s="30" t="str">
        <x:v>WHT-SERVICES</x:v>
      </x:c>
      <x:c r="B72" s="30" t="str">
        <x:v>Purchases</x:v>
      </x:c>
      <x:c r="C72" s="30" t="str">
        <x:v>Withholding Tax - Services</x:v>
      </x:c>
      <x:c r="D72" s="30" t="n">
        <x:v>7.5</x:v>
      </x:c>
      <x:c r="E72" s="30" t="str">
        <x:v>Applies to qualifying service purchases above threshold.</x:v>
      </x:c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  <x:c r="AA72" s="27"/>
      <x:c r="AB72" s="27"/>
    </x:row>
    <x:row r="73">
      <x:c r="A73" s="30" t="str">
        <x:v>WHT-GOODS</x:v>
      </x:c>
      <x:c r="B73" s="30" t="str">
        <x:v>Purchases</x:v>
      </x:c>
      <x:c r="C73" s="30" t="str">
        <x:v>Withholding Tax - Goods</x:v>
      </x:c>
      <x:c r="D73" s="30" t="n">
        <x:v>3</x:v>
      </x:c>
      <x:c r="E73" s="30" t="str">
        <x:v>Applies to qualifying goods purchases above threshold.</x:v>
      </x:c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  <x:c r="AA73" s="27"/>
      <x:c r="AB73" s="27"/>
    </x:row>
    <x:row r="74">
      <x:c r="A74" s="30" t="str">
        <x:v>VAT-STD</x:v>
      </x:c>
      <x:c r="B74" s="30" t="str">
        <x:v>Sales</x:v>
      </x:c>
      <x:c r="C74" s="30" t="str">
        <x:v>Value Added Tax standard component</x:v>
      </x:c>
      <x:c r="D74" s="30" t="n">
        <x:v>15</x:v>
      </x:c>
      <x:c r="E74" s="30" t="str">
        <x:v>Part of VAT-STD-SCHEME.</x:v>
      </x:c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  <x:c r="AA74" s="27"/>
      <x:c r="AB74" s="27"/>
    </x:row>
    <x:row r="75">
      <x:c r="A75" s="30" t="str">
        <x:v>NHIL</x:v>
      </x:c>
      <x:c r="B75" s="30" t="str">
        <x:v>Sales</x:v>
      </x:c>
      <x:c r="C75" s="30" t="str">
        <x:v>National Health Insurance Levy</x:v>
      </x:c>
      <x:c r="D75" s="30" t="n">
        <x:v>2.5</x:v>
      </x:c>
      <x:c r="E75" s="30" t="str">
        <x:v>Part of VAT-STD-SCHEME.</x:v>
      </x:c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  <x:c r="AA75" s="27"/>
      <x:c r="AB75" s="27"/>
    </x:row>
    <x:row r="76">
      <x:c r="A76" s="30" t="str">
        <x:v>GETFUND</x:v>
      </x:c>
      <x:c r="B76" s="30" t="str">
        <x:v>Sales</x:v>
      </x:c>
      <x:c r="C76" s="30" t="str">
        <x:v>GETFund Levy</x:v>
      </x:c>
      <x:c r="D76" s="30" t="n">
        <x:v>2.5</x:v>
      </x:c>
      <x:c r="E76" s="30" t="str">
        <x:v>Part of VAT-STD-SCHEME.</x:v>
      </x:c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  <x:c r="AA76" s="27"/>
      <x:c r="AB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  <x:c r="AA77" s="27"/>
      <x:c r="AB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  <x:c r="AA78" s="27"/>
      <x:c r="AB78" s="27"/>
    </x:row>
    <x:row r="79">
      <x:c r="A79" s="31" t="str">
        <x:v>Category Code</x:v>
      </x:c>
      <x:c r="B79" s="31" t="str">
        <x:v>Name</x:v>
      </x:c>
      <x:c r="C79" s="31" t="str">
        <x:v>Asset Account</x:v>
      </x:c>
      <x:c r="D79" s="31" t="str">
        <x:v>Accumulated Depreciation</x:v>
      </x:c>
      <x:c r="E79" s="31" t="str">
        <x:v>Depreciation Expense</x:v>
      </x:c>
      <x:c r="F79" s="31" t="str">
        <x:v>Default Method</x:v>
      </x:c>
      <x:c r="G79" s="31" t="str">
        <x:v>Useful Life Months</x:v>
      </x:c>
      <x:c r="H79" s="31" t="str">
        <x:v>Residual %</x:v>
      </x:c>
      <x:c r="I79" s="31" t="str">
        <x:v>Notes</x:v>
      </x:c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  <x:c r="AA79" s="27"/>
      <x:c r="AB79" s="27"/>
    </x:row>
    <x:row r="80">
      <x:c r="A80" s="30" t="str">
        <x:v>FA-BLDG</x:v>
      </x:c>
      <x:c r="B80" s="30" t="str">
        <x:v>Buildings</x:v>
      </x:c>
      <x:c r="C80" s="30" t="str">
        <x:v>1510 Buildings</x:v>
      </x:c>
      <x:c r="D80" s="30" t="str">
        <x:v>1590 Accumulated Depreciation</x:v>
      </x:c>
      <x:c r="E80" s="30" t="str">
        <x:v>6300 Depreciation Expense</x:v>
      </x:c>
      <x:c r="F80" s="30" t="str">
        <x:v>StraightLine</x:v>
      </x:c>
      <x:c r="G80" s="30" t="n">
        <x:v>240</x:v>
      </x:c>
      <x:c r="H80" s="30" t="str">
        <x:v>5%</x:v>
      </x:c>
      <x:c r="I80" s="30" t="str">
        <x:v>Seeded category.</x:v>
      </x:c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  <x:c r="AA80" s="27"/>
      <x:c r="AB80" s="27"/>
    </x:row>
    <x:row r="81">
      <x:c r="A81" s="30" t="str">
        <x:v>FA-EQP</x:v>
      </x:c>
      <x:c r="B81" s="30" t="str">
        <x:v>Equipment</x:v>
      </x:c>
      <x:c r="C81" s="30" t="str">
        <x:v>1520 Equipment</x:v>
      </x:c>
      <x:c r="D81" s="30" t="str">
        <x:v>1590 Accumulated Depreciation</x:v>
      </x:c>
      <x:c r="E81" s="30" t="str">
        <x:v>6300 Depreciation Expense</x:v>
      </x:c>
      <x:c r="F81" s="30" t="str">
        <x:v>StraightLine</x:v>
      </x:c>
      <x:c r="G81" s="30" t="n">
        <x:v>60</x:v>
      </x:c>
      <x:c r="H81" s="30" t="str">
        <x:v>10%</x:v>
      </x:c>
      <x:c r="I81" s="30" t="str">
        <x:v>Seeded category.</x:v>
      </x:c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  <x:c r="AA81" s="27"/>
      <x:c r="AB81" s="27"/>
    </x:row>
    <x:row r="82">
      <x:c r="A82" s="30" t="str">
        <x:v>FA-VEH</x:v>
      </x:c>
      <x:c r="B82" s="30" t="str">
        <x:v>Vehicles</x:v>
      </x:c>
      <x:c r="C82" s="30" t="str">
        <x:v>1530 Vehicles</x:v>
      </x:c>
      <x:c r="D82" s="30" t="str">
        <x:v>1590 Accumulated Depreciation</x:v>
      </x:c>
      <x:c r="E82" s="30" t="str">
        <x:v>6300 Depreciation Expense</x:v>
      </x:c>
      <x:c r="F82" s="30" t="str">
        <x:v>StraightLine</x:v>
      </x:c>
      <x:c r="G82" s="30" t="n">
        <x:v>48</x:v>
      </x:c>
      <x:c r="H82" s="30" t="str">
        <x:v>10%</x:v>
      </x:c>
      <x:c r="I82" s="30" t="str">
        <x:v>Seeded category.</x:v>
      </x:c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  <x:c r="AA82" s="27"/>
      <x:c r="AB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  <x:c r="AA83" s="27"/>
      <x:c r="AB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  <x:c r="AA84" s="27"/>
      <x:c r="AB84" s="27"/>
    </x:row>
    <x:row r="85">
      <x:c r="A85" s="31" t="str">
        <x:v>Unit Type/Account</x:v>
      </x:c>
      <x:c r="B85" s="31" t="str">
        <x:v>Name</x:v>
      </x:c>
      <x:c r="C85" s="31" t="str">
        <x:v>Use</x:v>
      </x:c>
      <x:c r="D85" s="31" t="str">
        <x:v>Posting?</x:v>
      </x:c>
      <x:c r="E85" s="31" t="str">
        <x:v>Notes</x:v>
      </x:c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  <x:c r="AA85" s="27"/>
      <x:c r="AB85" s="27"/>
    </x:row>
    <x:row r="86">
      <x:c r="A86" s="30" t="str">
        <x:v>EMP</x:v>
      </x:c>
      <x:c r="B86" s="30" t="str">
        <x:v>Employees</x:v>
      </x:c>
      <x:c r="C86" s="30" t="str">
        <x:v>Headcount and revenue per employee</x:v>
      </x:c>
      <x:c r="D86" s="30" t="str">
        <x:v>Type</x:v>
      </x:c>
      <x:c r="E86" s="30" t="str">
        <x:v>Create if not already seeded.</x:v>
      </x:c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  <x:c r="AA86" s="27"/>
      <x:c r="AB86" s="27"/>
    </x:row>
    <x:row r="87">
      <x:c r="A87" s="30" t="str">
        <x:v>SQFT</x:v>
      </x:c>
      <x:c r="B87" s="30" t="str">
        <x:v>Square Feet</x:v>
      </x:c>
      <x:c r="C87" s="30" t="str">
        <x:v>Facilities cost per square foot</x:v>
      </x:c>
      <x:c r="D87" s="30" t="str">
        <x:v>Type</x:v>
      </x:c>
      <x:c r="E87" s="30" t="str">
        <x:v>Create if not already seeded.</x:v>
      </x:c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  <x:c r="AA87" s="27"/>
      <x:c r="AB87" s="27"/>
    </x:row>
    <x:row r="88">
      <x:c r="A88" s="30" t="str">
        <x:v>HRS</x:v>
      </x:c>
      <x:c r="B88" s="30" t="str">
        <x:v>Hours</x:v>
      </x:c>
      <x:c r="C88" s="30" t="str">
        <x:v>Machine/labor hours</x:v>
      </x:c>
      <x:c r="D88" s="30" t="str">
        <x:v>Type</x:v>
      </x:c>
      <x:c r="E88" s="30" t="str">
        <x:v>Create if not already seeded.</x:v>
      </x:c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  <x:c r="AA88" s="27"/>
      <x:c r="AB88" s="27"/>
    </x:row>
    <x:row r="89">
      <x:c r="A89" s="30" t="str">
        <x:v>U-1000</x:v>
      </x:c>
      <x:c r="B89" s="30" t="str">
        <x:v>Total Employees</x:v>
      </x:c>
      <x:c r="C89" s="30" t="str">
        <x:v>Rollup</x:v>
      </x:c>
      <x:c r="D89" s="30" t="str">
        <x:v>No</x:v>
      </x:c>
      <x:c r="E89" s="30" t="str">
        <x:v>Parent of department employee accounts.</x:v>
      </x:c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  <x:c r="AA89" s="27"/>
      <x:c r="AB89" s="27"/>
    </x:row>
    <x:row r="90">
      <x:c r="A90" s="30" t="str">
        <x:v>U-1100</x:v>
      </x:c>
      <x:c r="B90" s="30" t="str">
        <x:v>Finance &amp; Admin Employees</x:v>
      </x:c>
      <x:c r="C90" s="30" t="str">
        <x:v>Driver</x:v>
      </x:c>
      <x:c r="D90" s="30" t="str">
        <x:v>Yes</x:v>
      </x:c>
      <x:c r="E90" s="30" t="str">
        <x:v>Used in allocation and KPI tests.</x:v>
      </x:c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  <x:c r="AA90" s="27"/>
      <x:c r="AB90" s="27"/>
    </x:row>
    <x:row r="91">
      <x:c r="A91" s="30" t="str">
        <x:v>U-1200</x:v>
      </x:c>
      <x:c r="B91" s="30" t="str">
        <x:v>Development &amp; Engineering Employees</x:v>
      </x:c>
      <x:c r="C91" s="30" t="str">
        <x:v>Driver</x:v>
      </x:c>
      <x:c r="D91" s="30" t="str">
        <x:v>Yes</x:v>
      </x:c>
      <x:c r="E91" s="30" t="str">
        <x:v>Used in allocation and KPI tests.</x:v>
      </x:c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  <x:c r="AA91" s="27"/>
      <x:c r="AB91" s="27"/>
    </x:row>
    <x:row r="92">
      <x:c r="A92" s="30" t="str">
        <x:v>U-1300</x:v>
      </x:c>
      <x:c r="B92" s="30" t="str">
        <x:v>Estates Management Employees</x:v>
      </x:c>
      <x:c r="C92" s="30" t="str">
        <x:v>Driver</x:v>
      </x:c>
      <x:c r="D92" s="30" t="str">
        <x:v>Yes</x:v>
      </x:c>
      <x:c r="E92" s="30" t="str">
        <x:v>Used in allocation and KPI tests.</x:v>
      </x:c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  <x:c r="AA92" s="27"/>
      <x:c r="AB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  <x:c r="AA93" s="27"/>
      <x:c r="AB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  <x:c r="AA94" s="27"/>
      <x:c r="AB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  <x:c r="AA95" s="27"/>
      <x:c r="AB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  <x:c r="AA96" s="27"/>
      <x:c r="AB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  <x:c r="AA97" s="27"/>
      <x:c r="AB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  <x:c r="AA98" s="27"/>
      <x:c r="AB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  <x:c r="AA99" s="27"/>
      <x:c r="AB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  <x:c r="AA100" s="27"/>
      <x:c r="AB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  <x:c r="AA101" s="27"/>
      <x:c r="AB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  <x:c r="AA102" s="27"/>
      <x:c r="AB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  <x:c r="AA103" s="27"/>
      <x:c r="AB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  <x:c r="AA104" s="27"/>
      <x:c r="AB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  <x:c r="AA105" s="27"/>
      <x:c r="AB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  <x:c r="AA106" s="27"/>
      <x:c r="AB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  <x:c r="AA107" s="27"/>
      <x:c r="AB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  <x:c r="AA108" s="27"/>
      <x:c r="AB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  <x:c r="AA109" s="27"/>
      <x:c r="AB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  <x:c r="AA110" s="27"/>
      <x:c r="AB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  <x:c r="AA111" s="27"/>
      <x:c r="AB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  <x:c r="AA112" s="27"/>
      <x:c r="AB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  <x:c r="AA113" s="27"/>
      <x:c r="AB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  <x:c r="AA114" s="27"/>
      <x:c r="AB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  <x:c r="AA115" s="27"/>
      <x:c r="AB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  <x:c r="AA116" s="27"/>
      <x:c r="AB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  <x:c r="AA117" s="27"/>
      <x:c r="AB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  <x:c r="AA118" s="27"/>
      <x:c r="AB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  <x:c r="AA119" s="27"/>
      <x:c r="AB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  <x:c r="AA120" s="27"/>
      <x:c r="AB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  <x:c r="AA121" s="27"/>
      <x:c r="AB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  <x:c r="AA122" s="27"/>
      <x:c r="AB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  <x:c r="AA123" s="27"/>
      <x:c r="AB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  <x:c r="AA124" s="27"/>
      <x:c r="AB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  <x:c r="AA125" s="27"/>
      <x:c r="AB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  <x:c r="AA126" s="27"/>
      <x:c r="AB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  <x:c r="AA127" s="27"/>
      <x:c r="AB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  <x:c r="AA128" s="27"/>
      <x:c r="AB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  <x:c r="AA129" s="27"/>
      <x:c r="AB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  <x:c r="AA130" s="27"/>
      <x:c r="AB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  <x:c r="AA131" s="27"/>
      <x:c r="AB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  <x:c r="AA132" s="27"/>
      <x:c r="AB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  <x:c r="AA133" s="27"/>
      <x:c r="AB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  <x:c r="AA134" s="27"/>
      <x:c r="AB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  <x:c r="AA135" s="27"/>
      <x:c r="AB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  <x:c r="AA136" s="27"/>
      <x:c r="AB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  <x:c r="AA137" s="27"/>
      <x:c r="AB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  <x:c r="AA138" s="27"/>
      <x:c r="AB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  <x:c r="AA139" s="27"/>
      <x:c r="AB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  <x:c r="AA140" s="27"/>
      <x:c r="AB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  <x:c r="AA141" s="27"/>
      <x:c r="AB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  <x:c r="AA142" s="27"/>
      <x:c r="AB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  <x:c r="AA143" s="27"/>
      <x:c r="AB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  <x:c r="AA144" s="27"/>
      <x:c r="AB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  <x:c r="AA145" s="27"/>
      <x:c r="AB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  <x:c r="AA146" s="27"/>
      <x:c r="AB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  <x:c r="AA147" s="27"/>
      <x:c r="AB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  <x:c r="AA148" s="27"/>
      <x:c r="AB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  <x:c r="AA149" s="27"/>
      <x:c r="AB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  <x:c r="AA150" s="27"/>
      <x:c r="AB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  <x:c r="AA151" s="27"/>
      <x:c r="AB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  <x:c r="AA152" s="27"/>
      <x:c r="AB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  <x:c r="AA153" s="27"/>
      <x:c r="AB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  <x:c r="AA154" s="27"/>
      <x:c r="AB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  <x:c r="AA155" s="27"/>
      <x:c r="AB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  <x:c r="AA156" s="27"/>
      <x:c r="AB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  <x:c r="AA157" s="27"/>
      <x:c r="AB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  <x:c r="AA158" s="27"/>
      <x:c r="AB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  <x:c r="AA159" s="27"/>
      <x:c r="AB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  <x:c r="AA160" s="27"/>
      <x:c r="AB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  <x:c r="AA161" s="27"/>
      <x:c r="AB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  <x:c r="AA162" s="27"/>
      <x:c r="AB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  <x:c r="AA163" s="27"/>
      <x:c r="AB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  <x:c r="AA164" s="27"/>
      <x:c r="AB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  <x:c r="AA165" s="27"/>
      <x:c r="AB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  <x:c r="AA166" s="27"/>
      <x:c r="AB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  <x:c r="AA167" s="27"/>
      <x:c r="AB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  <x:c r="AA168" s="27"/>
      <x:c r="AB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  <x:c r="AA169" s="27"/>
      <x:c r="AB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  <x:c r="AA170" s="27"/>
      <x:c r="AB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  <x:c r="AA171" s="27"/>
      <x:c r="AB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  <x:c r="AA172" s="27"/>
      <x:c r="AB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  <x:c r="AA173" s="27"/>
      <x:c r="AB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  <x:c r="AA174" s="27"/>
      <x:c r="AB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  <x:c r="AA175" s="27"/>
      <x:c r="AB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  <x:c r="AA176" s="27"/>
      <x:c r="AB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  <x:c r="AA177" s="27"/>
      <x:c r="AB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  <x:c r="AA178" s="27"/>
      <x:c r="AB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  <x:c r="AA179" s="27"/>
      <x:c r="AB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  <x:c r="AA180" s="27"/>
      <x:c r="AB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  <x:c r="AA181" s="27"/>
      <x:c r="AB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  <x:c r="AA182" s="27"/>
      <x:c r="AB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  <x:c r="AA183" s="27"/>
      <x:c r="AB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  <x:c r="AA184" s="27"/>
      <x:c r="AB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  <x:c r="AA185" s="27"/>
      <x:c r="AB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  <x:c r="AA186" s="27"/>
      <x:c r="AB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  <x:c r="AA187" s="27"/>
      <x:c r="AB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  <x:c r="AA188" s="27"/>
      <x:c r="AB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  <x:c r="AA189" s="27"/>
      <x:c r="AB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  <x:c r="AA190" s="27"/>
      <x:c r="AB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  <x:c r="AA191" s="27"/>
      <x:c r="AB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  <x:c r="AA192" s="27"/>
      <x:c r="AB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  <x:c r="AA193" s="27"/>
      <x:c r="AB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  <x:c r="AA194" s="27"/>
      <x:c r="AB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  <x:c r="AA195" s="27"/>
      <x:c r="AB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  <x:c r="AA196" s="27"/>
      <x:c r="AB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  <x:c r="AA197" s="27"/>
      <x:c r="AB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  <x:c r="AA198" s="27"/>
      <x:c r="AB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  <x:c r="AA199" s="27"/>
      <x:c r="AB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  <x:c r="AA200" s="27"/>
      <x:c r="AB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  <x:c r="AA201" s="27"/>
      <x:c r="AB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  <x:c r="AA202" s="27"/>
      <x:c r="AB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  <x:c r="AA203" s="27"/>
      <x:c r="AB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  <x:c r="AA204" s="27"/>
      <x:c r="AB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  <x:c r="AA205" s="27"/>
      <x:c r="AB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  <x:c r="Z206" s="27"/>
      <x:c r="AA206" s="27"/>
      <x:c r="AB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  <x:c r="Z207" s="27"/>
      <x:c r="AA207" s="27"/>
      <x:c r="AB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  <x:c r="Z208" s="27"/>
      <x:c r="AA208" s="27"/>
      <x:c r="AB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  <x:c r="Z209" s="27"/>
      <x:c r="AA209" s="27"/>
      <x:c r="AB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  <x:c r="Z210" s="27"/>
      <x:c r="AA210" s="27"/>
      <x:c r="AB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  <x:c r="Z211" s="27"/>
      <x:c r="AA211" s="27"/>
      <x:c r="AB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  <x:c r="Z212" s="27"/>
      <x:c r="AA212" s="27"/>
      <x:c r="AB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  <x:c r="Z213" s="27"/>
      <x:c r="AA213" s="27"/>
      <x:c r="AB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  <x:c r="Z214" s="27"/>
      <x:c r="AA214" s="27"/>
      <x:c r="AB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  <x:c r="Z215" s="27"/>
      <x:c r="AA215" s="27"/>
      <x:c r="AB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  <x:c r="Z216" s="27"/>
      <x:c r="AA216" s="27"/>
      <x:c r="AB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  <x:c r="Z217" s="27"/>
      <x:c r="AA217" s="27"/>
      <x:c r="AB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  <x:c r="Z218" s="27"/>
      <x:c r="AA218" s="27"/>
      <x:c r="AB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  <x:c r="Z219" s="27"/>
      <x:c r="AA219" s="27"/>
      <x:c r="AB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  <x:c r="Z220" s="27"/>
      <x:c r="AA220" s="27"/>
      <x:c r="AB220" s="27"/>
    </x:row>
  </x:sheetData>
  <x:conditionalFormatting sqref="A11:J47">
    <x:cfRule type="containsText" dxfId="0" priority="1" operator="containsText" text="If missing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20" hidden="0" customWidth="1"/>
    <x:col min="4" max="4" width="28" hidden="0" customWidth="1"/>
    <x:col min="5" max="5" width="28" hidden="0" customWidth="1"/>
    <x:col min="6" max="6" width="18" hidden="0" customWidth="1"/>
    <x:col min="7" max="7" width="60" hidden="0" customWidth="1"/>
    <x:col min="8" max="8" width="54" hidden="0" customWidth="1"/>
    <x:col min="9" max="9" width="52" hidden="0" customWidth="1"/>
    <x:col min="10" max="10" width="38" hidden="0" customWidth="1"/>
    <x:col min="11" max="11" width="14" hidden="0" customWidth="1"/>
    <x:col min="12" max="12" width="14" hidden="0" customWidth="1"/>
    <x:col min="13" max="13" width="14" hidden="0" customWidth="1"/>
    <x:col min="14" max="14" width="48" hidden="0" customWidth="1"/>
  </x:cols>
  <x:sheetData>
    <x:row r="1" ht="28" customHeight="1">
      <x:c r="A1" s="26" t="str">
        <x:v>Manual Test Scripts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  <x:c r="AA1" s="27"/>
      <x:c r="AB1" s="27"/>
    </x:row>
    <x:row r="2" ht="46" customHeight="1">
      <x:c r="A2" s="28" t="str">
        <x:v>Run in sequence. Columns K:N are for tester execution status and evidence.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</x:row>
    <x:row r="4">
      <x:c r="A4" s="31" t="str">
        <x:v>Seq</x:v>
      </x:c>
      <x:c r="B4" s="31" t="str">
        <x:v>Test ID</x:v>
      </x:c>
      <x:c r="C4" s="31" t="str">
        <x:v>Module</x:v>
      </x:c>
      <x:c r="D4" s="31" t="str">
        <x:v>Feature/Flow</x:v>
      </x:c>
      <x:c r="E4" s="31" t="str">
        <x:v>Prerequisite</x:v>
      </x:c>
      <x:c r="F4" s="31" t="str">
        <x:v>Date/Timing</x:v>
      </x:c>
      <x:c r="G4" s="31" t="str">
        <x:v>Steps / Test Data</x:v>
      </x:c>
      <x:c r="H4" s="31" t="str">
        <x:v>Expected Result</x:v>
      </x:c>
      <x:c r="I4" s="31" t="str">
        <x:v>Watch Out</x:v>
      </x:c>
      <x:c r="J4" s="31" t="str">
        <x:v>Reports / Evidence</x:v>
      </x:c>
      <x:c r="K4" s="31" t="str">
        <x:v>Run Status</x:v>
      </x:c>
      <x:c r="L4" s="31" t="str">
        <x:v>Tester</x:v>
      </x:c>
      <x:c r="M4" s="31" t="str">
        <x:v>Run Date</x:v>
      </x:c>
      <x:c r="N4" s="31" t="str">
        <x:v>Notes / Evidence Ref</x:v>
      </x:c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  <x:c r="AA4" s="27"/>
      <x:c r="AB4" s="27"/>
    </x:row>
    <x:row r="5">
      <x:c r="A5" s="30" t="str">
        <x:v>0.1</x:v>
      </x:c>
      <x:c r="B5" s="30" t="str">
        <x:v>PRE-001</x:v>
      </x:c>
      <x:c r="C5" s="30" t="str">
        <x:v>Setup</x:v>
      </x:c>
      <x:c r="D5" s="30" t="str">
        <x:v>Confirm user permissions</x:v>
      </x:c>
      <x:c r="E5" s="30" t="str">
        <x:v>Finance admin/tester user exists</x:v>
      </x:c>
      <x:c r="F5" s="30" t="str">
        <x:v>Before testing</x:v>
      </x:c>
      <x:c r="G5" s="30" t="str">
        <x:v>Confirm access to GL, AR, AP, Cash, Budget, Unit Accounting, Fixed Assets, Reports, Approvals.</x:v>
      </x:c>
      <x:c r="H5" s="30" t="str">
        <x:v>All menus/actions visible or blocked according to role.</x:v>
      </x:c>
      <x:c r="I5" s="30" t="str">
        <x:v>Missing permission claims, approval bypasses, wrong tenant context.</x:v>
      </x:c>
      <x:c r="J5" s="30" t="str">
        <x:v>Finance dashboard; audit log</x:v>
      </x:c>
      <x:c r="K5" s="30" t="str">
        <x:v>Not Run</x:v>
      </x:c>
      <x:c r="L5" s="30" t="str"/>
      <x:c r="M5" s="30" t="str"/>
      <x:c r="N5" s="30" t="str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  <x:c r="AB5" s="27"/>
    </x:row>
    <x:row r="6">
      <x:c r="A6" s="30" t="str">
        <x:v>0.2</x:v>
      </x:c>
      <x:c r="B6" s="30" t="str">
        <x:v>PRE-002</x:v>
      </x:c>
      <x:c r="C6" s="30" t="str">
        <x:v>Setup</x:v>
      </x:c>
      <x:c r="D6" s="30" t="str">
        <x:v>Confirm fiscal period status</x:v>
      </x:c>
      <x:c r="E6" s="30" t="str">
        <x:v>FY2026 seeded</x:v>
      </x:c>
      <x:c r="F6" s="30" t="str">
        <x:v>Before testing</x:v>
      </x:c>
      <x:c r="G6" s="30" t="str">
        <x:v>Verify January-May 2026 are closed/locked for posting tests and June 2026 is open.</x:v>
      </x:c>
      <x:c r="H6" s="30" t="str">
        <x:v>Closed periods reject postings; June accepts postings.</x:v>
      </x:c>
      <x:c r="I6" s="30" t="str">
        <x:v>Local DB may show Status=Closed but IsClosed=false; validate actual posting guard.</x:v>
      </x:c>
      <x:c r="J6" s="30" t="str">
        <x:v>Fiscal periods list</x:v>
      </x:c>
      <x:c r="K6" s="30" t="str">
        <x:v>Not Run</x:v>
      </x:c>
      <x:c r="L6" s="30" t="str"/>
      <x:c r="M6" s="30" t="str"/>
      <x:c r="N6" s="30" t="str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  <x:c r="AA6" s="27"/>
      <x:c r="AB6" s="27"/>
    </x:row>
    <x:row r="7">
      <x:c r="A7" s="30" t="str">
        <x:v>0.3</x:v>
      </x:c>
      <x:c r="B7" s="30" t="str">
        <x:v>PRE-003</x:v>
      </x:c>
      <x:c r="C7" s="30" t="str">
        <x:v>Setup</x:v>
      </x:c>
      <x:c r="D7" s="30" t="str">
        <x:v>Confirm chart/segments</x:v>
      </x:c>
      <x:c r="E7" s="30" t="str">
        <x:v>Finance seeder applied</x:v>
      </x:c>
      <x:c r="F7" s="30" t="str">
        <x:v>Before testing</x:v>
      </x:c>
      <x:c r="G7" s="30" t="str">
        <x:v>Validate DEPT-ACCT-PROJ structure, default account number pattern, reporting dimensions.</x:v>
      </x:c>
      <x:c r="H7" s="30" t="str">
        <x:v>All natural accounts and lookup values exist.</x:v>
      </x:c>
      <x:c r="I7" s="30" t="str">
        <x:v>Missing discount/FX control accounts can break settlement/revaluation.</x:v>
      </x:c>
      <x:c r="J7" s="30" t="str">
        <x:v>Chart of accounts; segment lookup</x:v>
      </x:c>
      <x:c r="K7" s="30" t="str">
        <x:v>Not Run</x:v>
      </x:c>
      <x:c r="L7" s="30" t="str"/>
      <x:c r="M7" s="30" t="str"/>
      <x:c r="N7" s="30" t="str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  <x:c r="AA7" s="27"/>
      <x:c r="AB7" s="27"/>
    </x:row>
    <x:row r="8">
      <x:c r="A8" s="30" t="str">
        <x:v>1.1</x:v>
      </x:c>
      <x:c r="B8" s="30" t="str">
        <x:v>OB-001</x:v>
      </x:c>
      <x:c r="C8" s="30" t="str">
        <x:v>Opening Balances</x:v>
      </x:c>
      <x:c r="D8" s="30" t="str">
        <x:v>Enter customer opening AR invoices</x:v>
      </x:c>
      <x:c r="E8" s="30" t="str">
        <x:v>Partners active</x:v>
      </x:c>
      <x:c r="F8" s="30" t="str">
        <x:v>2026-06-01</x:v>
      </x:c>
      <x:c r="G8" s="30" t="str">
        <x:v>Use OB-AR-001 and OB-AR-002 rows.</x:v>
      </x:c>
      <x:c r="H8" s="30" t="str">
        <x:v>AR subledger total = 185,000 GHS; 1990 credits same total.</x:v>
      </x:c>
      <x:c r="I8" s="30" t="str">
        <x:v>Do not post direct AR control opening balances without subledger details.</x:v>
      </x:c>
      <x:c r="J8" s="30" t="str">
        <x:v>Trial Balance; AR aging; customer statements</x:v>
      </x:c>
      <x:c r="K8" s="30" t="str">
        <x:v>Not Run</x:v>
      </x:c>
      <x:c r="L8" s="30" t="str"/>
      <x:c r="M8" s="30" t="str"/>
      <x:c r="N8" s="30" t="str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  <x:c r="AA8" s="27"/>
      <x:c r="AB8" s="27"/>
    </x:row>
    <x:row r="9">
      <x:c r="A9" s="30" t="str">
        <x:v>1.2</x:v>
      </x:c>
      <x:c r="B9" s="30" t="str">
        <x:v>OB-002</x:v>
      </x:c>
      <x:c r="C9" s="30" t="str">
        <x:v>Opening Balances</x:v>
      </x:c>
      <x:c r="D9" s="30" t="str">
        <x:v>Enter supplier opening AP invoices</x:v>
      </x:c>
      <x:c r="E9" s="30" t="str">
        <x:v>Partners active</x:v>
      </x:c>
      <x:c r="F9" s="30" t="str">
        <x:v>2026-06-01</x:v>
      </x:c>
      <x:c r="G9" s="30" t="str">
        <x:v>Use OB-AP-001 and OB-AP-002 rows.</x:v>
      </x:c>
      <x:c r="H9" s="30" t="str">
        <x:v>AP subledger total = 125,000 GHS; 1990 debits same total.</x:v>
      </x:c>
      <x:c r="I9" s="30" t="str">
        <x:v>AP due dates and currencies must be correct for aging and FX revaluation.</x:v>
      </x:c>
      <x:c r="J9" s="30" t="str">
        <x:v>Trial Balance; AP aging; supplier statement</x:v>
      </x:c>
      <x:c r="K9" s="30" t="str">
        <x:v>Not Run</x:v>
      </x:c>
      <x:c r="L9" s="30" t="str"/>
      <x:c r="M9" s="30" t="str"/>
      <x:c r="N9" s="30" t="str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  <x:c r="AA9" s="27"/>
      <x:c r="AB9" s="27"/>
    </x:row>
    <x:row r="10">
      <x:c r="A10" s="30" t="str">
        <x:v>1.3</x:v>
      </x:c>
      <x:c r="B10" s="30" t="str">
        <x:v>OB-003</x:v>
      </x:c>
      <x:c r="C10" s="30" t="str">
        <x:v>Opening Balances</x:v>
      </x:c>
      <x:c r="D10" s="30" t="str">
        <x:v>Enter non-subledger GL opening batch</x:v>
      </x:c>
      <x:c r="E10" s="30" t="str">
        <x:v>Opening subledger docs posted</x:v>
      </x:c>
      <x:c r="F10" s="30" t="str">
        <x:v>2026-06-01</x:v>
      </x:c>
      <x:c r="G10" s="30" t="str">
        <x:v>Post OB-GL-001 non-subledger balances including 1990 clearing debit.</x:v>
      </x:c>
      <x:c r="H10" s="30" t="str">
        <x:v>Migration clearing net = zero; Trial Balance balances.</x:v>
      </x:c>
      <x:c r="I10" s="30" t="str">
        <x:v>Retained earnings is the balancing line; do not leave 1990 residual.</x:v>
      </x:c>
      <x:c r="J10" s="30" t="str">
        <x:v>Trial Balance; Detailed Ledger 1990</x:v>
      </x:c>
      <x:c r="K10" s="30" t="str">
        <x:v>Not Run</x:v>
      </x:c>
      <x:c r="L10" s="30" t="str"/>
      <x:c r="M10" s="30" t="str"/>
      <x:c r="N10" s="30" t="str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  <x:c r="AA10" s="27"/>
      <x:c r="AB10" s="27"/>
    </x:row>
    <x:row r="11">
      <x:c r="A11" s="30" t="str">
        <x:v>1.4</x:v>
      </x:c>
      <x:c r="B11" s="30" t="str">
        <x:v>OB-004</x:v>
      </x:c>
      <x:c r="C11" s="30" t="str">
        <x:v>Opening Balances</x:v>
      </x:c>
      <x:c r="D11" s="30" t="str">
        <x:v>Load fixed asset opening book values</x:v>
      </x:c>
      <x:c r="E11" s="30" t="str">
        <x:v>FA categories seeded</x:v>
      </x:c>
      <x:c r="F11" s="30" t="str">
        <x:v>2026-06-01</x:v>
      </x:c>
      <x:c r="G11" s="30" t="str">
        <x:v>Validate seeded assets and opening accumulated depreciation against Fixed_Assets sheet.</x:v>
      </x:c>
      <x:c r="H11" s="30" t="str">
        <x:v>FA cost = GL asset cost; FA AD = GL 1590; NBV ties.</x:v>
      </x:c>
      <x:c r="I11" s="30" t="str">
        <x:v>Historical depreciation/import may not create GL if marked as opening.</x:v>
      </x:c>
      <x:c r="J11" s="30" t="str">
        <x:v>Fixed asset register; Balance Sheet</x:v>
      </x:c>
      <x:c r="K11" s="30" t="str">
        <x:v>Not Run</x:v>
      </x:c>
      <x:c r="L11" s="30" t="str"/>
      <x:c r="M11" s="30" t="str"/>
      <x:c r="N11" s="30" t="str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  <x:c r="AA11" s="27"/>
      <x:c r="AB11" s="27"/>
    </x:row>
    <x:row r="12">
      <x:c r="A12" s="30" t="str">
        <x:v>2.1</x:v>
      </x:c>
      <x:c r="B12" s="30" t="str">
        <x:v>GL-001</x:v>
      </x:c>
      <x:c r="C12" s="30" t="str">
        <x:v>General Ledger</x:v>
      </x:c>
      <x:c r="D12" s="30" t="str">
        <x:v>Manual balanced journal</x:v>
      </x:c>
      <x:c r="E12" s="30" t="str">
        <x:v>June period open</x:v>
      </x:c>
      <x:c r="F12" s="30" t="str">
        <x:v>2026-06-02</x:v>
      </x:c>
      <x:c r="G12" s="30" t="str">
        <x:v>Create a small accrual/reversal journal using 6100 and 2100, then reverse it.</x:v>
      </x:c>
      <x:c r="H12" s="30" t="str">
        <x:v>Posted journal creates equal debit/credit and reversal references original.</x:v>
      </x:c>
      <x:c r="I12" s="30" t="str">
        <x:v>Maker-checker status transitions and reversal dates.</x:v>
      </x:c>
      <x:c r="J12" s="30" t="str">
        <x:v>Detailed Ledger; Trial Balance</x:v>
      </x:c>
      <x:c r="K12" s="30" t="str">
        <x:v>Not Run</x:v>
      </x:c>
      <x:c r="L12" s="30" t="str"/>
      <x:c r="M12" s="30" t="str"/>
      <x:c r="N12" s="30" t="str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  <x:c r="AA12" s="27"/>
      <x:c r="AB12" s="27"/>
    </x:row>
    <x:row r="13">
      <x:c r="A13" s="30" t="str">
        <x:v>2.2</x:v>
      </x:c>
      <x:c r="B13" s="30" t="str">
        <x:v>GL-002</x:v>
      </x:c>
      <x:c r="C13" s="30" t="str">
        <x:v>General Ledger</x:v>
      </x:c>
      <x:c r="D13" s="30" t="str">
        <x:v>Closed-period posting block</x:v>
      </x:c>
      <x:c r="E13" s="30" t="str">
        <x:v>January-May status closed</x:v>
      </x:c>
      <x:c r="F13" s="30" t="str">
        <x:v>2026-05-31</x:v>
      </x:c>
      <x:c r="G13" s="30" t="str">
        <x:v>Attempt to post a journal dated May 2026.</x:v>
      </x:c>
      <x:c r="H13" s="30" t="str">
        <x:v>Posting is blocked with a clear closed-period error.</x:v>
      </x:c>
      <x:c r="I13" s="30" t="str">
        <x:v>If accepted, period close guard is not enforcing posting date.</x:v>
      </x:c>
      <x:c r="J13" s="30" t="str">
        <x:v>Audit log; journal validation error</x:v>
      </x:c>
      <x:c r="K13" s="30" t="str">
        <x:v>Not Run</x:v>
      </x:c>
      <x:c r="L13" s="30" t="str"/>
      <x:c r="M13" s="30" t="str"/>
      <x:c r="N13" s="30" t="str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  <x:c r="AA13" s="27"/>
      <x:c r="AB13" s="27"/>
    </x:row>
    <x:row r="14">
      <x:c r="A14" s="30" t="str">
        <x:v>3.1</x:v>
      </x:c>
      <x:c r="B14" s="30" t="str">
        <x:v>AR-001</x:v>
      </x:c>
      <x:c r="C14" s="30" t="str">
        <x:v>Accounts Receivable</x:v>
      </x:c>
      <x:c r="D14" s="30" t="str">
        <x:v>Local taxable service invoice</x:v>
      </x:c>
      <x:c r="E14" s="30" t="str">
        <x:v>Customer active; tax group active</x:v>
      </x:c>
      <x:c r="F14" s="30" t="str">
        <x:v>2026-06-03</x:v>
      </x:c>
      <x:c r="G14" s="30" t="str">
        <x:v>Post AR-INV-001.</x:v>
      </x:c>
      <x:c r="H14" s="30" t="str">
        <x:v>Dr AR 96,000; Cr Service Revenue 80,000; Cr Tax 16,000.</x:v>
      </x:c>
      <x:c r="I14" s="30" t="str">
        <x:v>VAT scheme should exclude inactive COVID levy and use base-only calculation.</x:v>
      </x:c>
      <x:c r="J14" s="30" t="str">
        <x:v>AR aging; customer statement; tax report; Trial Balance</x:v>
      </x:c>
      <x:c r="K14" s="30" t="str">
        <x:v>Not Run</x:v>
      </x:c>
      <x:c r="L14" s="30" t="str"/>
      <x:c r="M14" s="30" t="str"/>
      <x:c r="N14" s="30" t="str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  <x:c r="AA14" s="27"/>
      <x:c r="AB14" s="27"/>
    </x:row>
    <x:row r="15">
      <x:c r="A15" s="30" t="str">
        <x:v>3.2</x:v>
      </x:c>
      <x:c r="B15" s="30" t="str">
        <x:v>AR-002</x:v>
      </x:c>
      <x:c r="C15" s="30" t="str">
        <x:v>Accounts Receivable</x:v>
      </x:c>
      <x:c r="D15" s="30" t="str">
        <x:v>Partial receipt allocation</x:v>
      </x:c>
      <x:c r="E15" s="30" t="str">
        <x:v>AR-INV-001 posted</x:v>
      </x:c>
      <x:c r="F15" s="30" t="str">
        <x:v>2026-06-10</x:v>
      </x:c>
      <x:c r="G15" s="30" t="str">
        <x:v>Post AR-PMT-001 for 50,000 and allocate to invoice.</x:v>
      </x:c>
      <x:c r="H15" s="30" t="str">
        <x:v>Invoice remains partially paid; AR reduced by 50,000.</x:v>
      </x:c>
      <x:c r="I15" s="30" t="str">
        <x:v>Over-allocation and unapplied amount handling.</x:v>
      </x:c>
      <x:c r="J15" s="30" t="str">
        <x:v>AR aging; customer statement; cash ledger</x:v>
      </x:c>
      <x:c r="K15" s="30" t="str">
        <x:v>Not Run</x:v>
      </x:c>
      <x:c r="L15" s="30" t="str"/>
      <x:c r="M15" s="30" t="str"/>
      <x:c r="N15" s="30" t="str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  <x:c r="AA15" s="27"/>
      <x:c r="AB15" s="27"/>
    </x:row>
    <x:row r="16">
      <x:c r="A16" s="30" t="str">
        <x:v>3.3</x:v>
      </x:c>
      <x:c r="B16" s="30" t="str">
        <x:v>AR-003</x:v>
      </x:c>
      <x:c r="C16" s="30" t="str">
        <x:v>Accounts Receivable</x:v>
      </x:c>
      <x:c r="D16" s="30" t="str">
        <x:v>Credit note</x:v>
      </x:c>
      <x:c r="E16" s="30" t="str">
        <x:v>AR-INV-001 posted</x:v>
      </x:c>
      <x:c r="F16" s="30" t="str">
        <x:v>2026-06-12</x:v>
      </x:c>
      <x:c r="G16" s="30" t="str">
        <x:v>Post AR-CN-001.</x:v>
      </x:c>
      <x:c r="H16" s="30" t="str">
        <x:v>Revenue, VAT and AR reduce by 6,000 gross.</x:v>
      </x:c>
      <x:c r="I16" s="30" t="str">
        <x:v>Credit should not exceed open invoice balance unless allowed by policy.</x:v>
      </x:c>
      <x:c r="J16" s="30" t="str">
        <x:v>Customer statement; tax report; detailed ledger</x:v>
      </x:c>
      <x:c r="K16" s="30" t="str">
        <x:v>Not Run</x:v>
      </x:c>
      <x:c r="L16" s="30" t="str"/>
      <x:c r="M16" s="30" t="str"/>
      <x:c r="N16" s="30" t="str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  <x:c r="AA16" s="27"/>
      <x:c r="AB16" s="27"/>
    </x:row>
    <x:row r="17">
      <x:c r="A17" s="30" t="str">
        <x:v>3.4</x:v>
      </x:c>
      <x:c r="B17" s="30" t="str">
        <x:v>AR-004</x:v>
      </x:c>
      <x:c r="C17" s="30" t="str">
        <x:v>Accounts Receivable</x:v>
      </x:c>
      <x:c r="D17" s="30" t="str">
        <x:v>Receipt with customer WHT</x:v>
      </x:c>
      <x:c r="E17" s="30" t="str">
        <x:v>AR-INV-001 balance open</x:v>
      </x:c>
      <x:c r="F17" s="30" t="str">
        <x:v>2026-06-15</x:v>
      </x:c>
      <x:c r="G17" s="30" t="str">
        <x:v>Post final receipt with net cash and WHT certificate.</x:v>
      </x:c>
      <x:c r="H17" s="30" t="str">
        <x:v>AR clears; cash plus WHT debit equals invoice balance.</x:v>
      </x:c>
      <x:c r="I17" s="30" t="str">
        <x:v>WHT certificate number/date should be mandatory if amount is entered.</x:v>
      </x:c>
      <x:c r="J17" s="30" t="str">
        <x:v>Tax report; AR aging</x:v>
      </x:c>
      <x:c r="K17" s="30" t="str">
        <x:v>Not Run</x:v>
      </x:c>
      <x:c r="L17" s="30" t="str"/>
      <x:c r="M17" s="30" t="str"/>
      <x:c r="N17" s="30" t="str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  <x:c r="AA17" s="27"/>
      <x:c r="AB17" s="27"/>
    </x:row>
    <x:row r="18">
      <x:c r="A18" s="30" t="str">
        <x:v>3.5</x:v>
      </x:c>
      <x:c r="B18" s="30" t="str">
        <x:v>AR-005</x:v>
      </x:c>
      <x:c r="C18" s="30" t="str">
        <x:v>Accounts Receivable</x:v>
      </x:c>
      <x:c r="D18" s="30" t="str">
        <x:v>USD invoice and settlement FX</x:v>
      </x:c>
      <x:c r="E18" s="30" t="str">
        <x:v>USD customer and rates exist</x:v>
      </x:c>
      <x:c r="F18" s="30" t="str">
        <x:v>2026-06-05 to 2026-06-20</x:v>
      </x:c>
      <x:c r="G18" s="30" t="str">
        <x:v>Post AR-INV-002 then AR-PMT-USD-001 at a different rate.</x:v>
      </x:c>
      <x:c r="H18" s="30" t="str">
        <x:v>AR clears and realized FX gain posts to 7200.</x:v>
      </x:c>
      <x:c r="I18" s="30" t="str">
        <x:v>Settlement must use invoice base amount plus realized FX, not retranslate revenue.</x:v>
      </x:c>
      <x:c r="J18" s="30" t="str">
        <x:v>Multi-currency detail; customer statement</x:v>
      </x:c>
      <x:c r="K18" s="30" t="str">
        <x:v>Not Run</x:v>
      </x:c>
      <x:c r="L18" s="30" t="str"/>
      <x:c r="M18" s="30" t="str"/>
      <x:c r="N18" s="30" t="str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  <x:c r="AA18" s="27"/>
      <x:c r="AB18" s="27"/>
    </x:row>
    <x:row r="19">
      <x:c r="A19" s="30" t="str">
        <x:v>4.1</x:v>
      </x:c>
      <x:c r="B19" s="30" t="str">
        <x:v>AP-001</x:v>
      </x:c>
      <x:c r="C19" s="30" t="str">
        <x:v>Accounts Payable</x:v>
      </x:c>
      <x:c r="D19" s="30" t="str">
        <x:v>USD service invoice with WHT</x:v>
      </x:c>
      <x:c r="E19" s="30" t="str">
        <x:v>USD supplier active</x:v>
      </x:c>
      <x:c r="F19" s="30" t="str">
        <x:v>2026-06-04</x:v>
      </x:c>
      <x:c r="G19" s="30" t="str">
        <x:v>Post AP-INV-001.</x:v>
      </x:c>
      <x:c r="H19" s="30" t="str">
        <x:v>Dr Professional Fees 37,500; Cr AP 34,687.50; Cr WHT 2,812.50.</x:v>
      </x:c>
      <x:c r="I19" s="30" t="str">
        <x:v>WHT threshold and certificate fields; base-currency conversion.</x:v>
      </x:c>
      <x:c r="J19" s="30" t="str">
        <x:v>AP aging; supplier statement; tax report</x:v>
      </x:c>
      <x:c r="K19" s="30" t="str">
        <x:v>Not Run</x:v>
      </x:c>
      <x:c r="L19" s="30" t="str"/>
      <x:c r="M19" s="30" t="str"/>
      <x:c r="N19" s="30" t="str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  <x:c r="AA19" s="27"/>
      <x:c r="AB19" s="27"/>
    </x:row>
    <x:row r="20">
      <x:c r="A20" s="30" t="str">
        <x:v>4.2</x:v>
      </x:c>
      <x:c r="B20" s="30" t="str">
        <x:v>AP-002</x:v>
      </x:c>
      <x:c r="C20" s="30" t="str">
        <x:v>Accounts Payable</x:v>
      </x:c>
      <x:c r="D20" s="30" t="str">
        <x:v>USD supplier payment FX loss</x:v>
      </x:c>
      <x:c r="E20" s="30" t="str">
        <x:v>AP-INV-001 approved</x:v>
      </x:c>
      <x:c r="F20" s="30" t="str">
        <x:v>2026-06-18</x:v>
      </x:c>
      <x:c r="G20" s="30" t="str">
        <x:v>Pay the net USD amount at 13.0.</x:v>
      </x:c>
      <x:c r="H20" s="30" t="str">
        <x:v>AP clears and realized FX loss posts to 7210.</x:v>
      </x:c>
      <x:c r="I20" s="30" t="str">
        <x:v>Payment amount should not clear gross invoice before WHT.</x:v>
      </x:c>
      <x:c r="J20" s="30" t="str">
        <x:v>Cash ledger; AP aging; multi-currency detail</x:v>
      </x:c>
      <x:c r="K20" s="30" t="str">
        <x:v>Not Run</x:v>
      </x:c>
      <x:c r="L20" s="30" t="str"/>
      <x:c r="M20" s="30" t="str"/>
      <x:c r="N20" s="30" t="str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  <x:c r="AA20" s="27"/>
      <x:c r="AB20" s="27"/>
    </x:row>
    <x:row r="21">
      <x:c r="A21" s="30" t="str">
        <x:v>4.3</x:v>
      </x:c>
      <x:c r="B21" s="30" t="str">
        <x:v>AP-003</x:v>
      </x:c>
      <x:c r="C21" s="30" t="str">
        <x:v>Finance Purchase Order</x:v>
      </x:c>
      <x:c r="D21" s="30" t="str">
        <x:v>PO receipt/GRV accrual</x:v>
      </x:c>
      <x:c r="E21" s="30" t="str">
        <x:v>Vendor active; inventory account active</x:v>
      </x:c>
      <x:c r="F21" s="30" t="str">
        <x:v>2026-06-06</x:v>
      </x:c>
      <x:c r="G21" s="30" t="str">
        <x:v>Create PO and goods receipt PO-GRV-001.</x:v>
      </x:c>
      <x:c r="H21" s="30" t="str">
        <x:v>Dr Inventory; Cr GRV/accrual account 2100.</x:v>
      </x:c>
      <x:c r="I21" s="30" t="str">
        <x:v>Receipt quantity cannot exceed ordered/open quantity.</x:v>
      </x:c>
      <x:c r="J21" s="30" t="str">
        <x:v>Detailed Ledger 1200/2100; PO receipt status</x:v>
      </x:c>
      <x:c r="K21" s="30" t="str">
        <x:v>Not Run</x:v>
      </x:c>
      <x:c r="L21" s="30" t="str"/>
      <x:c r="M21" s="30" t="str"/>
      <x:c r="N21" s="30" t="str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  <x:c r="AA21" s="27"/>
      <x:c r="AB21" s="27"/>
    </x:row>
    <x:row r="22">
      <x:c r="A22" s="30" t="str">
        <x:v>4.4</x:v>
      </x:c>
      <x:c r="B22" s="30" t="str">
        <x:v>AP-004</x:v>
      </x:c>
      <x:c r="C22" s="30" t="str">
        <x:v>Accounts Payable</x:v>
      </x:c>
      <x:c r="D22" s="30" t="str">
        <x:v>Three-way matched invoice</x:v>
      </x:c>
      <x:c r="E22" s="30" t="str">
        <x:v>PO-GRV-001 posted</x:v>
      </x:c>
      <x:c r="F22" s="30" t="str">
        <x:v>2026-06-07</x:v>
      </x:c>
      <x:c r="G22" s="30" t="str">
        <x:v>Create AP-INV-PO-001 from GRV receipt.</x:v>
      </x:c>
      <x:c r="H22" s="30" t="str">
        <x:v>GRV accrual clears; input VAT posts; AP gross invoice created.</x:v>
      </x:c>
      <x:c r="I22" s="30" t="str">
        <x:v>Price/quantity mismatch should produce match exception.</x:v>
      </x:c>
      <x:c r="J22" s="30" t="str">
        <x:v>AP aging; detailed ledger; tax report</x:v>
      </x:c>
      <x:c r="K22" s="30" t="str">
        <x:v>Not Run</x:v>
      </x:c>
      <x:c r="L22" s="30" t="str"/>
      <x:c r="M22" s="30" t="str"/>
      <x:c r="N22" s="30" t="str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  <x:c r="AA22" s="27"/>
      <x:c r="AB22" s="27"/>
    </x:row>
    <x:row r="23">
      <x:c r="A23" s="30" t="str">
        <x:v>4.5</x:v>
      </x:c>
      <x:c r="B23" s="30" t="str">
        <x:v>AP-005</x:v>
      </x:c>
      <x:c r="C23" s="30" t="str">
        <x:v>Accounts Payable</x:v>
      </x:c>
      <x:c r="D23" s="30" t="str">
        <x:v>Payment with early discount</x:v>
      </x:c>
      <x:c r="E23" s="30" t="str">
        <x:v>2_10_NET30 active</x:v>
      </x:c>
      <x:c r="F23" s="30" t="str">
        <x:v>2026-06-20</x:v>
      </x:c>
      <x:c r="G23" s="30" t="str">
        <x:v>Post AP-INV-003 and AP-PMT-003 inside discount period.</x:v>
      </x:c>
      <x:c r="H23" s="30" t="str">
        <x:v>Discount credits 4910 and AP clears.</x:v>
      </x:c>
      <x:c r="I23" s="30" t="str">
        <x:v>Discount should be based on eligible base amount and timing.</x:v>
      </x:c>
      <x:c r="J23" s="30" t="str">
        <x:v>Supplier statement; detailed ledger 4910</x:v>
      </x:c>
      <x:c r="K23" s="30" t="str">
        <x:v>Not Run</x:v>
      </x:c>
      <x:c r="L23" s="30" t="str"/>
      <x:c r="M23" s="30" t="str"/>
      <x:c r="N23" s="30" t="str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  <x:c r="AA23" s="27"/>
      <x:c r="AB23" s="27"/>
    </x:row>
    <x:row r="24">
      <x:c r="A24" s="30" t="str">
        <x:v>5.1</x:v>
      </x:c>
      <x:c r="B24" s="30" t="str">
        <x:v>CASH-001</x:v>
      </x:c>
      <x:c r="C24" s="30" t="str">
        <x:v>Cash Management</x:v>
      </x:c>
      <x:c r="D24" s="30" t="str">
        <x:v>Bank transfer</x:v>
      </x:c>
      <x:c r="E24" s="30" t="str">
        <x:v>Two cash/bank GL accounts exist</x:v>
      </x:c>
      <x:c r="F24" s="30" t="str">
        <x:v>2026-06-21</x:v>
      </x:c>
      <x:c r="G24" s="30" t="str">
        <x:v>Post BANK-TRF-001.</x:v>
      </x:c>
      <x:c r="H24" s="30" t="str">
        <x:v>Cash leaves 1000 and enters 1010; net cash group unchanged.</x:v>
      </x:c>
      <x:c r="I24" s="30" t="str">
        <x:v>No AR/AP subledger impact.</x:v>
      </x:c>
      <x:c r="J24" s="30" t="str">
        <x:v>Cash bank ledger; cash flow statement</x:v>
      </x:c>
      <x:c r="K24" s="30" t="str">
        <x:v>Not Run</x:v>
      </x:c>
      <x:c r="L24" s="30" t="str"/>
      <x:c r="M24" s="30" t="str"/>
      <x:c r="N24" s="30" t="str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  <x:c r="AA24" s="27"/>
      <x:c r="AB24" s="27"/>
    </x:row>
    <x:row r="25">
      <x:c r="A25" s="30" t="str">
        <x:v>5.2</x:v>
      </x:c>
      <x:c r="B25" s="30" t="str">
        <x:v>CASH-002</x:v>
      </x:c>
      <x:c r="C25" s="30" t="str">
        <x:v>Cash Management</x:v>
      </x:c>
      <x:c r="D25" s="30" t="str">
        <x:v>Bank reconciliation adjustments</x:v>
      </x:c>
      <x:c r="E25" s="30" t="str">
        <x:v>Bank statement loaded</x:v>
      </x:c>
      <x:c r="F25" s="30" t="str">
        <x:v>2026-06-22</x:v>
      </x:c>
      <x:c r="G25" s="30" t="str">
        <x:v>Post BANK-REC-001 and BANK-REC-002.</x:v>
      </x:c>
      <x:c r="H25" s="30" t="str">
        <x:v>Charges reduce cash and expenses; interest increases cash and other income.</x:v>
      </x:c>
      <x:c r="I25" s="30" t="str">
        <x:v>Duplicate adjustments and statement line matching.</x:v>
      </x:c>
      <x:c r="J25" s="30" t="str">
        <x:v>Bank reconciliation; cash ledger; income statement</x:v>
      </x:c>
      <x:c r="K25" s="30" t="str">
        <x:v>Not Run</x:v>
      </x:c>
      <x:c r="L25" s="30" t="str"/>
      <x:c r="M25" s="30" t="str"/>
      <x:c r="N25" s="30" t="str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  <x:c r="AA25" s="27"/>
      <x:c r="AB25" s="27"/>
    </x:row>
    <x:row r="26">
      <x:c r="A26" s="30" t="str">
        <x:v>6.1</x:v>
      </x:c>
      <x:c r="B26" s="30" t="str">
        <x:v>BUD-001</x:v>
      </x:c>
      <x:c r="C26" s="30" t="str">
        <x:v>Budgeting</x:v>
      </x:c>
      <x:c r="D26" s="30" t="str">
        <x:v>Create FY2026 Original budget scenario</x:v>
      </x:c>
      <x:c r="E26" s="30" t="str">
        <x:v>FY2026 exists</x:v>
      </x:c>
      <x:c r="F26" s="30" t="str">
        <x:v>Before June actuals review</x:v>
      </x:c>
      <x:c r="G26" s="30" t="str">
        <x:v>Create scenario and budget returns for departments 100/200/300.</x:v>
      </x:c>
      <x:c r="H26" s="30" t="str">
        <x:v>Budget entries save in base currency and scenario summary reconciles.</x:v>
      </x:c>
      <x:c r="I26" s="30" t="str">
        <x:v>Status workflow: draft, submitted, approved/locked.</x:v>
      </x:c>
      <x:c r="J26" s="30" t="str">
        <x:v>Budget summary; variance analysis</x:v>
      </x:c>
      <x:c r="K26" s="30" t="str">
        <x:v>Not Run</x:v>
      </x:c>
      <x:c r="L26" s="30" t="str"/>
      <x:c r="M26" s="30" t="str"/>
      <x:c r="N26" s="30" t="str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  <x:c r="AA26" s="27"/>
      <x:c r="AB26" s="27"/>
    </x:row>
    <x:row r="27">
      <x:c r="A27" s="30" t="str">
        <x:v>6.2</x:v>
      </x:c>
      <x:c r="B27" s="30" t="str">
        <x:v>BUD-002</x:v>
      </x:c>
      <x:c r="C27" s="30" t="str">
        <x:v>Budgeting</x:v>
      </x:c>
      <x:c r="D27" s="30" t="str">
        <x:v>Budget vs actual</x:v>
      </x:c>
      <x:c r="E27" s="30" t="str">
        <x:v>June postings entered</x:v>
      </x:c>
      <x:c r="F27" s="30" t="str">
        <x:v>After postings</x:v>
      </x:c>
      <x:c r="G27" s="30" t="str">
        <x:v>Enter Budget_Unit financial budget rows and compare actuals.</x:v>
      </x:c>
      <x:c r="H27" s="30" t="str">
        <x:v>Revenue/expense variances match expected GL.</x:v>
      </x:c>
      <x:c r="I27" s="30" t="str">
        <x:v>Favorable/unfavorable rules should be clear; contra accounts handled correctly.</x:v>
      </x:c>
      <x:c r="J27" s="30" t="str">
        <x:v>Budget variance report; income statement</x:v>
      </x:c>
      <x:c r="K27" s="30" t="str">
        <x:v>Not Run</x:v>
      </x:c>
      <x:c r="L27" s="30" t="str"/>
      <x:c r="M27" s="30" t="str"/>
      <x:c r="N27" s="30" t="str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  <x:c r="AA27" s="27"/>
      <x:c r="AB27" s="27"/>
    </x:row>
    <x:row r="28">
      <x:c r="A28" s="30" t="str">
        <x:v>7.1</x:v>
      </x:c>
      <x:c r="B28" s="30" t="str">
        <x:v>UNIT-001</x:v>
      </x:c>
      <x:c r="C28" s="30" t="str">
        <x:v>Unit Accounting</x:v>
      </x:c>
      <x:c r="D28" s="30" t="str">
        <x:v>Create unit types/accounts</x:v>
      </x:c>
      <x:c r="E28" s="30" t="str">
        <x:v>Unit accounting migrations applied</x:v>
      </x:c>
      <x:c r="F28" s="30" t="str">
        <x:v>Before quantity posting</x:v>
      </x:c>
      <x:c r="G28" s="30" t="str">
        <x:v>Create EMP, SQFT, HRS unit types and U-1000/U-1100/U-1200/U-1300 accounts.</x:v>
      </x:c>
      <x:c r="H28" s="30" t="str">
        <x:v>Posting accounts can receive entries; parent rolls up child balances.</x:v>
      </x:c>
      <x:c r="I28" s="30" t="str">
        <x:v>If tables are missing, apply unit accounting migrations before testing.</x:v>
      </x:c>
      <x:c r="J28" s="30" t="str">
        <x:v>Unit accounts list</x:v>
      </x:c>
      <x:c r="K28" s="30" t="str">
        <x:v>Not Run</x:v>
      </x:c>
      <x:c r="L28" s="30" t="str"/>
      <x:c r="M28" s="30" t="str"/>
      <x:c r="N28" s="30" t="str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  <x:c r="AA28" s="27"/>
      <x:c r="AB28" s="27"/>
    </x:row>
    <x:row r="29">
      <x:c r="A29" s="30" t="str">
        <x:v>7.2</x:v>
      </x:c>
      <x:c r="B29" s="30" t="str">
        <x:v>UNIT-002</x:v>
      </x:c>
      <x:c r="C29" s="30" t="str">
        <x:v>Unit Accounting</x:v>
      </x:c>
      <x:c r="D29" s="30" t="str">
        <x:v>Unit budget and actual posting</x:v>
      </x:c>
      <x:c r="E29" s="30" t="str">
        <x:v>Unit accounts exist</x:v>
      </x:c>
      <x:c r="F29" s="30" t="str">
        <x:v>2026-06-30</x:v>
      </x:c>
      <x:c r="G29" s="30" t="str">
        <x:v>Enter unit budgets and post UJE for headcount/hours.</x:v>
      </x:c>
      <x:c r="H29" s="30" t="str">
        <x:v>Unit balances update after approval/posting and budget variance calculates.</x:v>
      </x:c>
      <x:c r="I29" s="30" t="str">
        <x:v>Negative quantity reversal should require reason and preserve audit.</x:v>
      </x:c>
      <x:c r="J29" s="30" t="str">
        <x:v>Unit budget variance; unit journal list</x:v>
      </x:c>
      <x:c r="K29" s="30" t="str">
        <x:v>Not Run</x:v>
      </x:c>
      <x:c r="L29" s="30" t="str"/>
      <x:c r="M29" s="30" t="str"/>
      <x:c r="N29" s="30" t="str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  <x:c r="AA29" s="27"/>
      <x:c r="AB29" s="27"/>
    </x:row>
    <x:row r="30">
      <x:c r="A30" s="30" t="str">
        <x:v>7.3</x:v>
      </x:c>
      <x:c r="B30" s="30" t="str">
        <x:v>UNIT-003</x:v>
      </x:c>
      <x:c r="C30" s="30" t="str">
        <x:v>Allocations</x:v>
      </x:c>
      <x:c r="D30" s="30" t="str">
        <x:v>Allocate overhead using headcount driver</x:v>
      </x:c>
      <x:c r="E30" s="30" t="str">
        <x:v>Unit balances posted</x:v>
      </x:c>
      <x:c r="F30" s="30" t="str">
        <x:v>2026-06-30</x:v>
      </x:c>
      <x:c r="G30" s="30" t="str">
        <x:v>Allocate 30,000 IT/professional overhead based on headcount.</x:v>
      </x:c>
      <x:c r="H30" s="30" t="str">
        <x:v>Allocation percentages reconcile to 100% and target postings balance.</x:v>
      </x:c>
      <x:c r="I30" s="30" t="str">
        <x:v>Driver accounts with zero balance should block or be excluded explicitly.</x:v>
      </x:c>
      <x:c r="J30" s="30" t="str">
        <x:v>Allocation preview/posting; detailed ledger by segment</x:v>
      </x:c>
      <x:c r="K30" s="30" t="str">
        <x:v>Not Run</x:v>
      </x:c>
      <x:c r="L30" s="30" t="str"/>
      <x:c r="M30" s="30" t="str"/>
      <x:c r="N30" s="30" t="str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  <x:c r="AA30" s="27"/>
      <x:c r="AB30" s="27"/>
    </x:row>
    <x:row r="31">
      <x:c r="A31" s="30" t="str">
        <x:v>8.1</x:v>
      </x:c>
      <x:c r="B31" s="30" t="str">
        <x:v>FA-001</x:v>
      </x:c>
      <x:c r="C31" s="30" t="str">
        <x:v>Fixed Assets</x:v>
      </x:c>
      <x:c r="D31" s="30" t="str">
        <x:v>Capital asset invoice from AP</x:v>
      </x:c>
      <x:c r="E31" s="30" t="str">
        <x:v>FA-EQP category active</x:v>
      </x:c>
      <x:c r="F31" s="30" t="str">
        <x:v>2026-06-08</x:v>
      </x:c>
      <x:c r="G31" s="30" t="str">
        <x:v>Post FA-ADD-001 from AP line marked for capitalization.</x:v>
      </x:c>
      <x:c r="H31" s="30" t="str">
        <x:v>Asset created; Dr 1520 88,000; Dr tax 17,600; Cr AP 105,600.</x:v>
      </x:c>
      <x:c r="I31" s="30" t="str">
        <x:v>Tax should not be capitalized if deductible; asset source document links back to AP.</x:v>
      </x:c>
      <x:c r="J31" s="30" t="str">
        <x:v>FA register; AP invoice; detailed ledger</x:v>
      </x:c>
      <x:c r="K31" s="30" t="str">
        <x:v>Not Run</x:v>
      </x:c>
      <x:c r="L31" s="30" t="str"/>
      <x:c r="M31" s="30" t="str"/>
      <x:c r="N31" s="30" t="str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  <x:c r="AA31" s="27"/>
      <x:c r="AB31" s="27"/>
    </x:row>
    <x:row r="32">
      <x:c r="A32" s="30" t="str">
        <x:v>8.2</x:v>
      </x:c>
      <x:c r="B32" s="30" t="str">
        <x:v>FA-002</x:v>
      </x:c>
      <x:c r="C32" s="30" t="str">
        <x:v>Fixed Assets</x:v>
      </x:c>
      <x:c r="D32" s="30" t="str">
        <x:v>Monthly depreciation run</x:v>
      </x:c>
      <x:c r="E32" s="30" t="str">
        <x:v>Active assets placed in service</x:v>
      </x:c>
      <x:c r="F32" s="30" t="str">
        <x:v>2026-06-30</x:v>
      </x:c>
      <x:c r="G32" s="30" t="str">
        <x:v>Run FA-DEP-001 for June.</x:v>
      </x:c>
      <x:c r="H32" s="30" t="str">
        <x:v>Schedule lines total 14,340.83 and GL posts Dr 6300 / Cr 1590.</x:v>
      </x:c>
      <x:c r="I32" s="30" t="str">
        <x:v>Avoid duplicate depreciation for same period/asset.</x:v>
      </x:c>
      <x:c r="J32" s="30" t="str">
        <x:v>Depreciation schedule; FA register; Trial Balance</x:v>
      </x:c>
      <x:c r="K32" s="30" t="str">
        <x:v>Not Run</x:v>
      </x:c>
      <x:c r="L32" s="30" t="str"/>
      <x:c r="M32" s="30" t="str"/>
      <x:c r="N32" s="30" t="str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  <x:c r="AA32" s="27"/>
      <x:c r="AB32" s="27"/>
    </x:row>
    <x:row r="33">
      <x:c r="A33" s="30" t="str">
        <x:v>8.3</x:v>
      </x:c>
      <x:c r="B33" s="30" t="str">
        <x:v>FA-003</x:v>
      </x:c>
      <x:c r="C33" s="30" t="str">
        <x:v>Fixed Assets</x:v>
      </x:c>
      <x:c r="D33" s="30" t="str">
        <x:v>Asset transfer</x:v>
      </x:c>
      <x:c r="E33" s="30" t="str">
        <x:v>Server Rack active</x:v>
      </x:c>
      <x:c r="F33" s="30" t="str">
        <x:v>2026-06-24</x:v>
      </x:c>
      <x:c r="G33" s="30" t="str">
        <x:v>Complete FA-TRF-001 to Development/project P101.</x:v>
      </x:c>
      <x:c r="H33" s="30" t="str">
        <x:v>Location/segment/custodian changes; no GL if no transfer cost.</x:v>
      </x:c>
      <x:c r="I33" s="30" t="str">
        <x:v>Transfer should retain historical location/custodian snapshots.</x:v>
      </x:c>
      <x:c r="J33" s="30" t="str">
        <x:v>Asset history; audit log</x:v>
      </x:c>
      <x:c r="K33" s="30" t="str">
        <x:v>Not Run</x:v>
      </x:c>
      <x:c r="L33" s="30" t="str"/>
      <x:c r="M33" s="30" t="str"/>
      <x:c r="N33" s="30" t="str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  <x:c r="AA33" s="27"/>
      <x:c r="AB33" s="27"/>
    </x:row>
    <x:row r="34">
      <x:c r="A34" s="30" t="str">
        <x:v>8.4</x:v>
      </x:c>
      <x:c r="B34" s="30" t="str">
        <x:v>FA-004</x:v>
      </x:c>
      <x:c r="C34" s="30" t="str">
        <x:v>Fixed Assets</x:v>
      </x:c>
      <x:c r="D34" s="30" t="str">
        <x:v>Impairment/valuation</x:v>
      </x:c>
      <x:c r="E34" s="30" t="str">
        <x:v>Server Rack active</x:v>
      </x:c>
      <x:c r="F34" s="30" t="str">
        <x:v>2026-06-26</x:v>
      </x:c>
      <x:c r="G34" s="30" t="str">
        <x:v>Post FA-VAL-001 impairment.</x:v>
      </x:c>
      <x:c r="H34" s="30" t="str">
        <x:v>Book value reduces and GL posts according to configured valuation accounts.</x:v>
      </x:c>
      <x:c r="I34" s="30" t="str">
        <x:v>If impairment account missing, posting should block with a setup error.</x:v>
      </x:c>
      <x:c r="J34" s="30" t="str">
        <x:v>Asset valuation report; detailed ledger</x:v>
      </x:c>
      <x:c r="K34" s="30" t="str">
        <x:v>Not Run</x:v>
      </x:c>
      <x:c r="L34" s="30" t="str"/>
      <x:c r="M34" s="30" t="str"/>
      <x:c r="N34" s="30" t="str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  <x:c r="AA34" s="27"/>
      <x:c r="AB34" s="27"/>
    </x:row>
    <x:row r="35">
      <x:c r="A35" s="30" t="str">
        <x:v>8.5</x:v>
      </x:c>
      <x:c r="B35" s="30" t="str">
        <x:v>FA-005</x:v>
      </x:c>
      <x:c r="C35" s="30" t="str">
        <x:v>Fixed Assets</x:v>
      </x:c>
      <x:c r="D35" s="30" t="str">
        <x:v>Asset disposal</x:v>
      </x:c>
      <x:c r="E35" s="30" t="str">
        <x:v>Truck active; depreciation up to date</x:v>
      </x:c>
      <x:c r="F35" s="30" t="str">
        <x:v>2026-06-28</x:v>
      </x:c>
      <x:c r="G35" s="30" t="str">
        <x:v>Post FA-DISP-001.</x:v>
      </x:c>
      <x:c r="H35" s="30" t="str">
        <x:v>Cost and AD clear; proceeds post; gain/loss calculated as 7,187.50.</x:v>
      </x:c>
      <x:c r="I35" s="30" t="str">
        <x:v>Depreciation must be current to disposal date; disposed asset cannot depreciate further.</x:v>
      </x:c>
      <x:c r="J35" s="30" t="str">
        <x:v>Disposal register; FA roll-forward; cash ledger</x:v>
      </x:c>
      <x:c r="K35" s="30" t="str">
        <x:v>Not Run</x:v>
      </x:c>
      <x:c r="L35" s="30" t="str"/>
      <x:c r="M35" s="30" t="str"/>
      <x:c r="N35" s="30" t="str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  <x:c r="AA35" s="27"/>
      <x:c r="AB35" s="27"/>
    </x:row>
    <x:row r="36">
      <x:c r="A36" s="30" t="str">
        <x:v>8.6</x:v>
      </x:c>
      <x:c r="B36" s="30" t="str">
        <x:v>FA-006</x:v>
      </x:c>
      <x:c r="C36" s="30" t="str">
        <x:v>Lease Accounting</x:v>
      </x:c>
      <x:c r="D36" s="30" t="str">
        <x:v>Lease recognition and first payment</x:v>
      </x:c>
      <x:c r="E36" s="30" t="str">
        <x:v>Lease settings/accounts configured</x:v>
      </x:c>
      <x:c r="F36" s="30" t="str">
        <x:v>2026-06-29 to 2026-06-30</x:v>
      </x:c>
      <x:c r="G36" s="30" t="str">
        <x:v>Post FA-LEASE-001 and FA-LEASE-PMT-001.</x:v>
      </x:c>
      <x:c r="H36" s="30" t="str">
        <x:v>ROU asset/liability recognized; payment splits principal and interest.</x:v>
      </x:c>
      <x:c r="I36" s="30" t="str">
        <x:v>Missing ROU/interest accounts should block; schedule should reconcile.</x:v>
      </x:c>
      <x:c r="J36" s="30" t="str">
        <x:v>Lease schedule; Balance Sheet; Income Statement</x:v>
      </x:c>
      <x:c r="K36" s="30" t="str">
        <x:v>Not Run</x:v>
      </x:c>
      <x:c r="L36" s="30" t="str"/>
      <x:c r="M36" s="30" t="str"/>
      <x:c r="N36" s="30" t="str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  <x:c r="AA36" s="27"/>
      <x:c r="AB36" s="27"/>
    </x:row>
    <x:row r="37">
      <x:c r="A37" s="30" t="str">
        <x:v>9.1</x:v>
      </x:c>
      <x:c r="B37" s="30" t="str">
        <x:v>FX-001</x:v>
      </x:c>
      <x:c r="C37" s="30" t="str">
        <x:v>Multi-Currency</x:v>
      </x:c>
      <x:c r="D37" s="30" t="str">
        <x:v>Month-end revaluation</x:v>
      </x:c>
      <x:c r="E37" s="30" t="str">
        <x:v>Open USD AR/AP balances</x:v>
      </x:c>
      <x:c r="F37" s="30" t="str">
        <x:v>2026-06-30</x:v>
      </x:c>
      <x:c r="G37" s="30" t="str">
        <x:v>Run FX-REVAL-001 and FX-REVAL-002 at 13.1.</x:v>
      </x:c>
      <x:c r="H37" s="30" t="str">
        <x:v>AR gain 4,200; AP loss 3,600; unrealized accounts used.</x:v>
      </x:c>
      <x:c r="I37" s="30" t="str">
        <x:v>Prior revaluation reversal should happen before new adjustment.</x:v>
      </x:c>
      <x:c r="J37" s="30" t="str">
        <x:v>Multi-currency detail; exchange gain/loss report</x:v>
      </x:c>
      <x:c r="K37" s="30" t="str">
        <x:v>Not Run</x:v>
      </x:c>
      <x:c r="L37" s="30" t="str"/>
      <x:c r="M37" s="30" t="str"/>
      <x:c r="N37" s="30" t="str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  <x:c r="AA37" s="27"/>
      <x:c r="AB37" s="27"/>
    </x:row>
    <x:row r="38">
      <x:c r="A38" s="30" t="str">
        <x:v>10.1</x:v>
      </x:c>
      <x:c r="B38" s="30" t="str">
        <x:v>RPT-001</x:v>
      </x:c>
      <x:c r="C38" s="30" t="str">
        <x:v>Reporting</x:v>
      </x:c>
      <x:c r="D38" s="30" t="str">
        <x:v>Full report pack after postings</x:v>
      </x:c>
      <x:c r="E38" s="30" t="str">
        <x:v>All test postings complete</x:v>
      </x:c>
      <x:c r="F38" s="30" t="str">
        <x:v>2026-06-30</x:v>
      </x:c>
      <x:c r="G38" s="30" t="str">
        <x:v>Run reports in Reports_Checklist.</x:v>
      </x:c>
      <x:c r="H38" s="30" t="str">
        <x:v>Reports reconcile to Reconciliation_Checks sheet.</x:v>
      </x:c>
      <x:c r="I38" s="30" t="str">
        <x:v>Segment filters, book classification, export totals, and date boundaries.</x:v>
      </x:c>
      <x:c r="J38" s="30" t="str">
        <x:v>All listed reports</x:v>
      </x:c>
      <x:c r="K38" s="30" t="str">
        <x:v>Not Run</x:v>
      </x:c>
      <x:c r="L38" s="30" t="str"/>
      <x:c r="M38" s="30" t="str"/>
      <x:c r="N38" s="30" t="str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  <x:c r="AA38" s="27"/>
      <x:c r="AB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  <x:c r="AA39" s="27"/>
      <x:c r="AB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  <x:c r="AA40" s="27"/>
      <x:c r="AB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  <x:c r="AA41" s="27"/>
      <x:c r="AB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  <x:c r="AA42" s="27"/>
      <x:c r="AB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  <x:c r="AA43" s="27"/>
      <x:c r="AB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  <x:c r="AA44" s="27"/>
      <x:c r="AB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  <x:c r="AA45" s="27"/>
      <x:c r="AB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  <x:c r="AA46" s="27"/>
      <x:c r="AB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  <x:c r="AA47" s="27"/>
      <x:c r="AB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  <x:c r="AA48" s="27"/>
      <x:c r="AB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  <x:c r="AA49" s="27"/>
      <x:c r="AB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  <x:c r="AA50" s="27"/>
      <x:c r="AB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  <x:c r="AA51" s="27"/>
      <x:c r="AB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  <x:c r="AA52" s="27"/>
      <x:c r="AB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  <x:c r="AA53" s="27"/>
      <x:c r="AB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  <x:c r="AA54" s="27"/>
      <x:c r="AB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  <x:c r="AA55" s="27"/>
      <x:c r="AB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  <x:c r="AA56" s="27"/>
      <x:c r="AB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  <x:c r="AA57" s="27"/>
      <x:c r="AB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  <x:c r="AA58" s="27"/>
      <x:c r="AB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  <x:c r="AA59" s="27"/>
      <x:c r="AB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  <x:c r="AA60" s="27"/>
      <x:c r="AB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  <x:c r="AA61" s="27"/>
      <x:c r="AB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  <x:c r="AA62" s="27"/>
      <x:c r="AB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  <x:c r="AA63" s="27"/>
      <x:c r="AB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  <x:c r="AA64" s="27"/>
      <x:c r="AB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  <x:c r="AA65" s="27"/>
      <x:c r="AB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  <x:c r="AA66" s="27"/>
      <x:c r="AB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  <x:c r="AA67" s="27"/>
      <x:c r="AB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  <x:c r="AA68" s="27"/>
      <x:c r="AB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  <x:c r="AA69" s="27"/>
      <x:c r="AB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  <x:c r="AA70" s="27"/>
      <x:c r="AB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  <x:c r="AA71" s="27"/>
      <x:c r="AB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  <x:c r="AA72" s="27"/>
      <x:c r="AB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  <x:c r="AA73" s="27"/>
      <x:c r="AB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  <x:c r="AA74" s="27"/>
      <x:c r="AB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  <x:c r="AA75" s="27"/>
      <x:c r="AB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  <x:c r="AA76" s="27"/>
      <x:c r="AB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  <x:c r="AA77" s="27"/>
      <x:c r="AB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  <x:c r="AA78" s="27"/>
      <x:c r="AB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  <x:c r="AA79" s="27"/>
      <x:c r="AB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  <x:c r="AA80" s="27"/>
      <x:c r="AB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  <x:c r="AA81" s="27"/>
      <x:c r="AB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  <x:c r="AA82" s="27"/>
      <x:c r="AB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  <x:c r="AA83" s="27"/>
      <x:c r="AB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  <x:c r="AA84" s="27"/>
      <x:c r="AB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  <x:c r="AA85" s="27"/>
      <x:c r="AB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  <x:c r="AA86" s="27"/>
      <x:c r="AB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  <x:c r="AA87" s="27"/>
      <x:c r="AB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  <x:c r="AA88" s="27"/>
      <x:c r="AB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  <x:c r="AA89" s="27"/>
      <x:c r="AB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  <x:c r="AA90" s="27"/>
      <x:c r="AB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  <x:c r="AA91" s="27"/>
      <x:c r="AB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  <x:c r="AA92" s="27"/>
      <x:c r="AB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  <x:c r="AA93" s="27"/>
      <x:c r="AB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  <x:c r="AA94" s="27"/>
      <x:c r="AB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  <x:c r="AA95" s="27"/>
      <x:c r="AB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  <x:c r="AA96" s="27"/>
      <x:c r="AB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  <x:c r="AA97" s="27"/>
      <x:c r="AB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  <x:c r="AA98" s="27"/>
      <x:c r="AB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  <x:c r="AA99" s="27"/>
      <x:c r="AB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  <x:c r="AA100" s="27"/>
      <x:c r="AB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  <x:c r="AA101" s="27"/>
      <x:c r="AB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  <x:c r="AA102" s="27"/>
      <x:c r="AB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  <x:c r="AA103" s="27"/>
      <x:c r="AB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  <x:c r="AA104" s="27"/>
      <x:c r="AB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  <x:c r="AA105" s="27"/>
      <x:c r="AB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  <x:c r="AA106" s="27"/>
      <x:c r="AB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  <x:c r="AA107" s="27"/>
      <x:c r="AB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  <x:c r="AA108" s="27"/>
      <x:c r="AB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  <x:c r="AA109" s="27"/>
      <x:c r="AB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  <x:c r="AA110" s="27"/>
      <x:c r="AB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  <x:c r="AA111" s="27"/>
      <x:c r="AB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  <x:c r="AA112" s="27"/>
      <x:c r="AB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  <x:c r="AA113" s="27"/>
      <x:c r="AB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  <x:c r="AA114" s="27"/>
      <x:c r="AB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  <x:c r="AA115" s="27"/>
      <x:c r="AB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  <x:c r="AA116" s="27"/>
      <x:c r="AB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  <x:c r="AA117" s="27"/>
      <x:c r="AB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  <x:c r="AA118" s="27"/>
      <x:c r="AB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  <x:c r="AA119" s="27"/>
      <x:c r="AB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  <x:c r="AA120" s="27"/>
      <x:c r="AB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  <x:c r="AA121" s="27"/>
      <x:c r="AB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  <x:c r="AA122" s="27"/>
      <x:c r="AB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  <x:c r="AA123" s="27"/>
      <x:c r="AB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  <x:c r="AA124" s="27"/>
      <x:c r="AB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  <x:c r="AA125" s="27"/>
      <x:c r="AB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  <x:c r="AA126" s="27"/>
      <x:c r="AB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  <x:c r="AA127" s="27"/>
      <x:c r="AB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  <x:c r="AA128" s="27"/>
      <x:c r="AB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  <x:c r="AA129" s="27"/>
      <x:c r="AB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  <x:c r="AA130" s="27"/>
      <x:c r="AB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  <x:c r="AA131" s="27"/>
      <x:c r="AB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  <x:c r="AA132" s="27"/>
      <x:c r="AB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  <x:c r="AA133" s="27"/>
      <x:c r="AB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  <x:c r="AA134" s="27"/>
      <x:c r="AB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  <x:c r="AA135" s="27"/>
      <x:c r="AB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  <x:c r="AA136" s="27"/>
      <x:c r="AB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  <x:c r="AA137" s="27"/>
      <x:c r="AB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  <x:c r="AA138" s="27"/>
      <x:c r="AB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  <x:c r="AA139" s="27"/>
      <x:c r="AB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  <x:c r="AA140" s="27"/>
      <x:c r="AB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  <x:c r="AA141" s="27"/>
      <x:c r="AB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  <x:c r="AA142" s="27"/>
      <x:c r="AB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  <x:c r="AA143" s="27"/>
      <x:c r="AB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  <x:c r="AA144" s="27"/>
      <x:c r="AB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  <x:c r="AA145" s="27"/>
      <x:c r="AB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  <x:c r="AA146" s="27"/>
      <x:c r="AB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  <x:c r="AA147" s="27"/>
      <x:c r="AB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  <x:c r="AA148" s="27"/>
      <x:c r="AB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  <x:c r="AA149" s="27"/>
      <x:c r="AB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  <x:c r="AA150" s="27"/>
      <x:c r="AB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  <x:c r="AA151" s="27"/>
      <x:c r="AB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  <x:c r="AA152" s="27"/>
      <x:c r="AB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  <x:c r="AA153" s="27"/>
      <x:c r="AB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  <x:c r="AA154" s="27"/>
      <x:c r="AB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  <x:c r="AA155" s="27"/>
      <x:c r="AB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  <x:c r="AA156" s="27"/>
      <x:c r="AB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  <x:c r="AA157" s="27"/>
      <x:c r="AB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  <x:c r="AA158" s="27"/>
      <x:c r="AB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  <x:c r="AA159" s="27"/>
      <x:c r="AB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  <x:c r="AA160" s="27"/>
      <x:c r="AB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  <x:c r="AA161" s="27"/>
      <x:c r="AB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  <x:c r="AA162" s="27"/>
      <x:c r="AB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  <x:c r="AA163" s="27"/>
      <x:c r="AB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  <x:c r="AA164" s="27"/>
      <x:c r="AB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  <x:c r="AA165" s="27"/>
      <x:c r="AB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  <x:c r="AA166" s="27"/>
      <x:c r="AB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  <x:c r="AA167" s="27"/>
      <x:c r="AB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  <x:c r="AA168" s="27"/>
      <x:c r="AB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  <x:c r="AA169" s="27"/>
      <x:c r="AB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  <x:c r="AA170" s="27"/>
      <x:c r="AB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  <x:c r="AA171" s="27"/>
      <x:c r="AB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  <x:c r="AA172" s="27"/>
      <x:c r="AB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  <x:c r="AA173" s="27"/>
      <x:c r="AB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  <x:c r="AA174" s="27"/>
      <x:c r="AB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  <x:c r="AA175" s="27"/>
      <x:c r="AB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  <x:c r="AA176" s="27"/>
      <x:c r="AB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  <x:c r="AA177" s="27"/>
      <x:c r="AB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  <x:c r="AA178" s="27"/>
      <x:c r="AB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  <x:c r="AA179" s="27"/>
      <x:c r="AB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  <x:c r="AA180" s="27"/>
      <x:c r="AB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  <x:c r="AA181" s="27"/>
      <x:c r="AB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  <x:c r="AA182" s="27"/>
      <x:c r="AB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  <x:c r="AA183" s="27"/>
      <x:c r="AB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  <x:c r="AA184" s="27"/>
      <x:c r="AB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  <x:c r="AA185" s="27"/>
      <x:c r="AB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  <x:c r="AA186" s="27"/>
      <x:c r="AB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  <x:c r="AA187" s="27"/>
      <x:c r="AB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  <x:c r="AA188" s="27"/>
      <x:c r="AB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  <x:c r="AA189" s="27"/>
      <x:c r="AB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  <x:c r="AA190" s="27"/>
      <x:c r="AB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  <x:c r="AA191" s="27"/>
      <x:c r="AB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  <x:c r="AA192" s="27"/>
      <x:c r="AB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  <x:c r="AA193" s="27"/>
      <x:c r="AB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  <x:c r="AA194" s="27"/>
      <x:c r="AB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  <x:c r="AA195" s="27"/>
      <x:c r="AB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  <x:c r="AA196" s="27"/>
      <x:c r="AB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  <x:c r="AA197" s="27"/>
      <x:c r="AB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  <x:c r="AA198" s="27"/>
      <x:c r="AB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  <x:c r="AA199" s="27"/>
      <x:c r="AB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  <x:c r="AA200" s="27"/>
      <x:c r="AB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  <x:c r="AA201" s="27"/>
      <x:c r="AB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  <x:c r="AA202" s="27"/>
      <x:c r="AB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  <x:c r="AA203" s="27"/>
      <x:c r="AB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  <x:c r="AA204" s="27"/>
      <x:c r="AB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  <x:c r="AA205" s="27"/>
      <x:c r="AB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  <x:c r="Z206" s="27"/>
      <x:c r="AA206" s="27"/>
      <x:c r="AB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  <x:c r="Z207" s="27"/>
      <x:c r="AA207" s="27"/>
      <x:c r="AB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  <x:c r="Z208" s="27"/>
      <x:c r="AA208" s="27"/>
      <x:c r="AB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  <x:c r="Z209" s="27"/>
      <x:c r="AA209" s="27"/>
      <x:c r="AB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  <x:c r="Z210" s="27"/>
      <x:c r="AA210" s="27"/>
      <x:c r="AB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  <x:c r="Z211" s="27"/>
      <x:c r="AA211" s="27"/>
      <x:c r="AB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  <x:c r="Z212" s="27"/>
      <x:c r="AA212" s="27"/>
      <x:c r="AB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  <x:c r="Z213" s="27"/>
      <x:c r="AA213" s="27"/>
      <x:c r="AB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  <x:c r="Z214" s="27"/>
      <x:c r="AA214" s="27"/>
      <x:c r="AB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  <x:c r="Z215" s="27"/>
      <x:c r="AA215" s="27"/>
      <x:c r="AB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  <x:c r="Z216" s="27"/>
      <x:c r="AA216" s="27"/>
      <x:c r="AB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  <x:c r="Z217" s="27"/>
      <x:c r="AA217" s="27"/>
      <x:c r="AB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  <x:c r="Z218" s="27"/>
      <x:c r="AA218" s="27"/>
      <x:c r="AB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  <x:c r="Z219" s="27"/>
      <x:c r="AA219" s="27"/>
      <x:c r="AB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  <x:c r="Z220" s="27"/>
      <x:c r="AA220" s="27"/>
      <x:c r="AB220" s="27"/>
    </x:row>
  </x:sheetData>
  <x:conditionalFormatting sqref="K5:K38">
    <x:cfRule type="containsText" dxfId="1" priority="1" operator="containsText" text="Pass"/>
    <x:cfRule type="containsText" dxfId="2" priority="2" operator="containsText" text="Fail"/>
    <x:cfRule type="containsText" dxfId="3" priority="3" operator="containsText" text="Blocked"/>
  </x:conditionalFormatting>
  <x:dataValidations count="1">
    <x:dataValidation type="list" sqref="K5:K38">
      <x:formula1>"Not Run,Pass,Fail,Blocked,Retest"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28" hidden="0" customWidth="1"/>
    <x:col min="5" max="5" width="36" hidden="0" customWidth="1"/>
    <x:col min="6" max="6" width="42" hidden="0" customWidth="1"/>
    <x:col min="7" max="7" width="18" hidden="0" customWidth="1"/>
    <x:col min="8" max="8" width="24" hidden="0" customWidth="1"/>
    <x:col min="9" max="9" width="58" hidden="0" customWidth="1"/>
    <x:col min="10" max="10" width="58" hidden="0" customWidth="1"/>
    <x:col min="11" max="11" width="54" hidden="0" customWidth="1"/>
    <x:col min="12" max="12" width="36" hidden="0" customWidth="1"/>
    <x:col min="13" max="13" width="14" hidden="0" customWidth="1"/>
    <x:col min="14" max="14" width="48" hidden="0" customWidth="1"/>
  </x:cols>
  <x:sheetData>
    <x:row r="1" ht="28" customHeight="1">
      <x:c r="A1" s="26" t="str">
        <x:v>Workflow and Approval Coverage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  <x:c r="AA1" s="27"/>
      <x:c r="AB1" s="27"/>
    </x:row>
    <x:row r="2" ht="46" customHeight="1">
      <x:c r="A2" s="28" t="str">
        <x:v>Approval paths should not be skipped. Run these alongside the transaction scripts to test maker-checker, authorization, rejection, posting, reversal, security and audit controls.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</x:row>
    <x:row r="4">
      <x:c r="A4" s="29" t="str">
        <x:v>Workflow ID</x:v>
      </x:c>
      <x:c r="B4" s="29" t="str">
        <x:v>Module</x:v>
      </x:c>
      <x:c r="C4" s="29" t="str">
        <x:v>Source Txn/Test ID</x:v>
      </x:c>
      <x:c r="D4" s="29" t="str">
        <x:v>Entity / Document</x:v>
      </x:c>
      <x:c r="E4" s="29" t="str">
        <x:v>Workflow Action</x:v>
      </x:c>
      <x:c r="F4" s="29" t="str">
        <x:v>Actors / Roles</x:v>
      </x:c>
      <x:c r="G4" s="29" t="str">
        <x:v>Pre-status</x:v>
      </x:c>
      <x:c r="H4" s="29" t="str">
        <x:v>Expected Post-status</x:v>
      </x:c>
      <x:c r="I4" s="29" t="str">
        <x:v>Approval Test Steps</x:v>
      </x:c>
      <x:c r="J4" s="29" t="str">
        <x:v>Expected Control Result</x:v>
      </x:c>
      <x:c r="K4" s="29" t="str">
        <x:v>Watch Out</x:v>
      </x:c>
      <x:c r="L4" s="29" t="str">
        <x:v>Evidence</x:v>
      </x:c>
      <x:c r="M4" s="29" t="str">
        <x:v>Run Status</x:v>
      </x:c>
      <x:c r="N4" s="29" t="str">
        <x:v>Tester Notes</x:v>
      </x:c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  <x:c r="AA4" s="27"/>
      <x:c r="AB4" s="27"/>
    </x:row>
    <x:row r="5">
      <x:c r="A5" s="30" t="str">
        <x:v>WF-001</x:v>
      </x:c>
      <x:c r="B5" s="30" t="str">
        <x:v>General Ledger</x:v>
      </x:c>
      <x:c r="C5" s="30" t="str">
        <x:v>GL-001</x:v>
      </x:c>
      <x:c r="D5" s="30" t="str">
        <x:v>Manual Journal Entry</x:v>
      </x:c>
      <x:c r="E5" s="30" t="str">
        <x:v>Create draft, submit, approve, post, then reverse</x:v>
      </x:c>
      <x:c r="F5" s="30" t="str">
        <x:v>Maker: Accountant; Approver: Finance Manager; Poster: GL Supervisor</x:v>
      </x:c>
      <x:c r="G5" s="30" t="str">
        <x:v>Draft</x:v>
      </x:c>
      <x:c r="H5" s="30" t="str">
        <x:v>Posted, then Reversed after reversal</x:v>
      </x:c>
      <x:c r="I5" s="30" t="str">
        <x:v>Create an accrual journal, submit for approval, approve as a different user, post, then create reversal with reason.</x:v>
      </x:c>
      <x:c r="J5" s="30" t="str">
        <x:v>No GL balance impact until posting; reversal creates linked opposite journal; audit records each transition.</x:v>
      </x:c>
      <x:c r="K5" s="30" t="str">
        <x:v>Approver must not be same user if maker-checker is enforced; rejection must leave no posted ledger.</x:v>
      </x:c>
      <x:c r="L5" s="30" t="str">
        <x:v>Journal details; approval queue; audit log</x:v>
      </x:c>
      <x:c r="M5" s="30" t="str">
        <x:v>Not Run</x:v>
      </x:c>
      <x:c r="N5" s="30" t="str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  <x:c r="AB5" s="27"/>
    </x:row>
    <x:row r="6">
      <x:c r="A6" s="30" t="str">
        <x:v>WF-002</x:v>
      </x:c>
      <x:c r="B6" s="30" t="str">
        <x:v>Opening Balances</x:v>
      </x:c>
      <x:c r="C6" s="30" t="str">
        <x:v>OB-001 to OB-004</x:v>
      </x:c>
      <x:c r="D6" s="30" t="str">
        <x:v>Opening Balance Batch</x:v>
      </x:c>
      <x:c r="E6" s="30" t="str">
        <x:v>Prepare, review, approve/sign off, post, lock migration batch</x:v>
      </x:c>
      <x:c r="F6" s="30" t="str">
        <x:v>Maker: Migration User; Approver: Finance Lead</x:v>
      </x:c>
      <x:c r="G6" s="30" t="str">
        <x:v>Draft/Prepared</x:v>
      </x:c>
      <x:c r="H6" s="30" t="str">
        <x:v>Posted/Locked</x:v>
      </x:c>
      <x:c r="I6" s="30" t="str">
        <x:v>Submit AR, AP, GL and FA opening balances for approval before posting the batch.</x:v>
      </x:c>
      <x:c r="J6" s="30" t="str">
        <x:v>1990 clears only after approved posted batch; re-opening requires explicit authorization.</x:v>
      </x:c>
      <x:c r="K6" s="30" t="str">
        <x:v>Do not allow direct edit/delete after sign-off; residual clearing balance must block sign-off.</x:v>
      </x:c>
      <x:c r="L6" s="30" t="str">
        <x:v>Opening batch; Trial Balance; migration sign-off audit</x:v>
      </x:c>
      <x:c r="M6" s="30" t="str">
        <x:v>Not Run</x:v>
      </x:c>
      <x:c r="N6" s="30" t="str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  <x:c r="AA6" s="27"/>
      <x:c r="AB6" s="27"/>
    </x:row>
    <x:row r="7">
      <x:c r="A7" s="30" t="str">
        <x:v>WF-003</x:v>
      </x:c>
      <x:c r="B7" s="30" t="str">
        <x:v>Accounts Receivable</x:v>
      </x:c>
      <x:c r="C7" s="30" t="str">
        <x:v>AR-INV-001</x:v>
      </x:c>
      <x:c r="D7" s="30" t="str">
        <x:v>Customer Invoice</x:v>
      </x:c>
      <x:c r="E7" s="30" t="str">
        <x:v>Draft invoice, submit/approve if workflow enabled, send/post</x:v>
      </x:c>
      <x:c r="F7" s="30" t="str">
        <x:v>Maker: Billing Clerk; Approver: AR Manager</x:v>
      </x:c>
      <x:c r="G7" s="30" t="str">
        <x:v>Draft</x:v>
      </x:c>
      <x:c r="H7" s="30" t="str">
        <x:v>Sent/Posted</x:v>
      </x:c>
      <x:c r="I7" s="30" t="str">
        <x:v>Create taxable invoice, submit, approve, then send/post.</x:v>
      </x:c>
      <x:c r="J7" s="30" t="str">
        <x:v>Revenue, tax and AR GL lines exist only after approved posting step.</x:v>
      </x:c>
      <x:c r="K7" s="30" t="str">
        <x:v>Rejected invoice should remain unposted and must not affect aging/revenue.</x:v>
      </x:c>
      <x:c r="L7" s="30" t="str">
        <x:v>AR invoice detail; approval queue; detailed ledger</x:v>
      </x:c>
      <x:c r="M7" s="30" t="str">
        <x:v>Not Run</x:v>
      </x:c>
      <x:c r="N7" s="30" t="str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  <x:c r="AA7" s="27"/>
      <x:c r="AB7" s="27"/>
    </x:row>
    <x:row r="8">
      <x:c r="A8" s="30" t="str">
        <x:v>WF-004</x:v>
      </x:c>
      <x:c r="B8" s="30" t="str">
        <x:v>Accounts Receivable</x:v>
      </x:c>
      <x:c r="C8" s="30" t="str">
        <x:v>AR-CN-001</x:v>
      </x:c>
      <x:c r="D8" s="30" t="str">
        <x:v>Credit Note</x:v>
      </x:c>
      <x:c r="E8" s="30" t="str">
        <x:v>Submit credit note for approval before posting</x:v>
      </x:c>
      <x:c r="F8" s="30" t="str">
        <x:v>Maker: AR Clerk; Approver: Finance Manager</x:v>
      </x:c>
      <x:c r="G8" s="30" t="str">
        <x:v>Draft</x:v>
      </x:c>
      <x:c r="H8" s="30" t="str">
        <x:v>Posted</x:v>
      </x:c>
      <x:c r="I8" s="30" t="str">
        <x:v>Create credit note against AR-INV-001 and route for approval.</x:v>
      </x:c>
      <x:c r="J8" s="30" t="str">
        <x:v>Credit note reverses AR, revenue and tax only after approval/posting.</x:v>
      </x:c>
      <x:c r="K8" s="30" t="str">
        <x:v>Approval should validate credit does not exceed open invoice balance unless policy allows customer credit.</x:v>
      </x:c>
      <x:c r="L8" s="30" t="str">
        <x:v>Customer statement; audit log</x:v>
      </x:c>
      <x:c r="M8" s="30" t="str">
        <x:v>Not Run</x:v>
      </x:c>
      <x:c r="N8" s="30" t="str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  <x:c r="AA8" s="27"/>
      <x:c r="AB8" s="27"/>
    </x:row>
    <x:row r="9">
      <x:c r="A9" s="30" t="str">
        <x:v>WF-005</x:v>
      </x:c>
      <x:c r="B9" s="30" t="str">
        <x:v>Accounts Receivable</x:v>
      </x:c>
      <x:c r="C9" s="30" t="str">
        <x:v>AR-PMT-001 / AR-PMT-002</x:v>
      </x:c>
      <x:c r="D9" s="30" t="str">
        <x:v>Customer Receipt</x:v>
      </x:c>
      <x:c r="E9" s="30" t="str">
        <x:v>Receive, allocate, clear/approve bank receipt</x:v>
      </x:c>
      <x:c r="F9" s="30" t="str">
        <x:v>Maker: Cashier; Approver: Treasury Lead</x:v>
      </x:c>
      <x:c r="G9" s="30" t="str">
        <x:v>Pending</x:v>
      </x:c>
      <x:c r="H9" s="30" t="str">
        <x:v>Cleared/Allocated</x:v>
      </x:c>
      <x:c r="I9" s="30" t="str">
        <x:v>Record receipt, allocate to invoice, then clear/approve through cash/bank workflow.</x:v>
      </x:c>
      <x:c r="J9" s="30" t="str">
        <x:v>Uncleared receipt should not overstate bank balance if clearing account workflow is enabled.</x:v>
      </x:c>
      <x:c r="K9" s="30" t="str">
        <x:v>Bounced/cancelled receipt must reverse AR allocation and cash posting cleanly.</x:v>
      </x:c>
      <x:c r="L9" s="30" t="str">
        <x:v>Cash ledger; AR aging; audit log</x:v>
      </x:c>
      <x:c r="M9" s="30" t="str">
        <x:v>Not Run</x:v>
      </x:c>
      <x:c r="N9" s="30" t="str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  <x:c r="AA9" s="27"/>
      <x:c r="AB9" s="27"/>
    </x:row>
    <x:row r="10">
      <x:c r="A10" s="30" t="str">
        <x:v>WF-006</x:v>
      </x:c>
      <x:c r="B10" s="30" t="str">
        <x:v>Accounts Payable</x:v>
      </x:c>
      <x:c r="C10" s="30" t="str">
        <x:v>AP-INV-001</x:v>
      </x:c>
      <x:c r="D10" s="30" t="str">
        <x:v>Vendor Invoice</x:v>
      </x:c>
      <x:c r="E10" s="30" t="str">
        <x:v>Draft, submit, approve, post AP invoice</x:v>
      </x:c>
      <x:c r="F10" s="30" t="str">
        <x:v>Maker: AP Clerk; Approver: AP Manager</x:v>
      </x:c>
      <x:c r="G10" s="30" t="str">
        <x:v>Draft</x:v>
      </x:c>
      <x:c r="H10" s="30" t="str">
        <x:v>Approved/Posted</x:v>
      </x:c>
      <x:c r="I10" s="30" t="str">
        <x:v>Enter vendor service invoice with WHT, submit, reject once, correct, resubmit, approve and post.</x:v>
      </x:c>
      <x:c r="J10" s="30" t="str">
        <x:v>Expense/WHT/AP GL lines appear only after approved posting; rejection leaves invoice unposted.</x:v>
      </x:c>
      <x:c r="K10" s="30" t="str">
        <x:v>Duplicate supplier invoice and missing WHT certificate should be caught before approval.</x:v>
      </x:c>
      <x:c r="L10" s="30" t="str">
        <x:v>AP invoice detail; AP aging; audit log</x:v>
      </x:c>
      <x:c r="M10" s="30" t="str">
        <x:v>Not Run</x:v>
      </x:c>
      <x:c r="N10" s="30" t="str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  <x:c r="AA10" s="27"/>
      <x:c r="AB10" s="27"/>
    </x:row>
    <x:row r="11">
      <x:c r="A11" s="30" t="str">
        <x:v>WF-007</x:v>
      </x:c>
      <x:c r="B11" s="30" t="str">
        <x:v>Accounts Payable</x:v>
      </x:c>
      <x:c r="C11" s="30" t="str">
        <x:v>AP-PMT-001 / AP-PMT-003</x:v>
      </x:c>
      <x:c r="D11" s="30" t="str">
        <x:v>Vendor Payment</x:v>
      </x:c>
      <x:c r="E11" s="30" t="str">
        <x:v>Draft payment, authorize, process, clear/reconcile</x:v>
      </x:c>
      <x:c r="F11" s="30" t="str">
        <x:v>Maker: AP Clerk; Authorizer: Treasury/Finance Manager</x:v>
      </x:c>
      <x:c r="G11" s="30" t="str">
        <x:v>Draft</x:v>
      </x:c>
      <x:c r="H11" s="30" t="str">
        <x:v>Processed/Cleared/Reconciled</x:v>
      </x:c>
      <x:c r="I11" s="30" t="str">
        <x:v>Create vendor payment, allocate invoices, authorize as different user, process, then mark cleared.</x:v>
      </x:c>
      <x:c r="J11" s="30" t="str">
        <x:v>AP clears only after processed payment; cash impact and FX/discount lines post correctly.</x:v>
      </x:c>
      <x:c r="K11" s="30" t="str">
        <x:v>Unauthorized payment must not reduce bank/AP; over-allocation must be blocked.</x:v>
      </x:c>
      <x:c r="L11" s="30" t="str">
        <x:v>Vendor payment detail; cash ledger; supplier statement</x:v>
      </x:c>
      <x:c r="M11" s="30" t="str">
        <x:v>Not Run</x:v>
      </x:c>
      <x:c r="N11" s="30" t="str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  <x:c r="AA11" s="27"/>
      <x:c r="AB11" s="27"/>
    </x:row>
    <x:row r="12">
      <x:c r="A12" s="30" t="str">
        <x:v>WF-008</x:v>
      </x:c>
      <x:c r="B12" s="30" t="str">
        <x:v>Accounts Payable</x:v>
      </x:c>
      <x:c r="C12" s="30" t="str">
        <x:v>Payment batch</x:v>
      </x:c>
      <x:c r="D12" s="30" t="str">
        <x:v>Payment Batch</x:v>
      </x:c>
      <x:c r="E12" s="30" t="str">
        <x:v>Create batch, submit for approval, approve, process batch</x:v>
      </x:c>
      <x:c r="F12" s="30" t="str">
        <x:v>Maker: AP Clerk; Approver: Finance Manager</x:v>
      </x:c>
      <x:c r="G12" s="30" t="str">
        <x:v>Draft</x:v>
      </x:c>
      <x:c r="H12" s="30" t="str">
        <x:v>Completed or PartiallyCompleted</x:v>
      </x:c>
      <x:c r="I12" s="30" t="str">
        <x:v>Group eligible AP payments and route the batch through approval.</x:v>
      </x:c>
      <x:c r="J12" s="30" t="str">
        <x:v>Batch totals/count equal included payment items; failed item leaves batch partially completed with reason.</x:v>
      </x:c>
      <x:c r="K12" s="30" t="str">
        <x:v>Individual payments should not process twice after batch retry.</x:v>
      </x:c>
      <x:c r="L12" s="30" t="str">
        <x:v>Payment batch; audit log</x:v>
      </x:c>
      <x:c r="M12" s="30" t="str">
        <x:v>Not Run</x:v>
      </x:c>
      <x:c r="N12" s="30" t="str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  <x:c r="AA12" s="27"/>
      <x:c r="AB12" s="27"/>
    </x:row>
    <x:row r="13">
      <x:c r="A13" s="30" t="str">
        <x:v>WF-009</x:v>
      </x:c>
      <x:c r="B13" s="30" t="str">
        <x:v>Finance Purchase Order</x:v>
      </x:c>
      <x:c r="C13" s="30" t="str">
        <x:v>PO-GRV-001</x:v>
      </x:c>
      <x:c r="D13" s="30" t="str">
        <x:v>Finance PO and GRV</x:v>
      </x:c>
      <x:c r="E13" s="30" t="str">
        <x:v>Approve PO, receive goods, approve/post receipt if required</x:v>
      </x:c>
      <x:c r="F13" s="30" t="str">
        <x:v>Maker: Procurement/Finance User; Approver: Budget/Finance Manager</x:v>
      </x:c>
      <x:c r="G13" s="30" t="str">
        <x:v>Draft PO / Draft Receipt</x:v>
      </x:c>
      <x:c r="H13" s="30" t="str">
        <x:v>Approved PO / Received Posted GRV</x:v>
      </x:c>
      <x:c r="I13" s="30" t="str">
        <x:v>Create PO, route for approval, issue PO, receive goods and post GRV.</x:v>
      </x:c>
      <x:c r="J13" s="30" t="str">
        <x:v>GRV accrual posts once and idempotency prevents duplicate receipt posting.</x:v>
      </x:c>
      <x:c r="K13" s="30" t="str">
        <x:v>Receipt over remaining quantity and receipt before PO approval must be blocked.</x:v>
      </x:c>
      <x:c r="L13" s="30" t="str">
        <x:v>PO detail; receipt detail; detailed ledger 1200/2100</x:v>
      </x:c>
      <x:c r="M13" s="30" t="str">
        <x:v>Not Run</x:v>
      </x:c>
      <x:c r="N13" s="30" t="str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  <x:c r="AA13" s="27"/>
      <x:c r="AB13" s="27"/>
    </x:row>
    <x:row r="14">
      <x:c r="A14" s="30" t="str">
        <x:v>WF-010</x:v>
      </x:c>
      <x:c r="B14" s="30" t="str">
        <x:v>Budgeting</x:v>
      </x:c>
      <x:c r="C14" s="30" t="str">
        <x:v>BUD-001 / BUD-002</x:v>
      </x:c>
      <x:c r="D14" s="30" t="str">
        <x:v>Budget Scenario and Return</x:v>
      </x:c>
      <x:c r="E14" s="30" t="str">
        <x:v>Create scenario, assign return, submit, approve/lock, reject path</x:v>
      </x:c>
      <x:c r="F14" s="30" t="str">
        <x:v>Maker: Budget Owner; Approver: Finance Planning Lead</x:v>
      </x:c>
      <x:c r="G14" s="30" t="str">
        <x:v>Draft</x:v>
      </x:c>
      <x:c r="H14" s="30" t="str">
        <x:v>Approved/Locked</x:v>
      </x:c>
      <x:c r="I14" s="30" t="str">
        <x:v>Enter budget returns for departments, submit, reject one return, correct and resubmit, approve/lock scenario.</x:v>
      </x:c>
      <x:c r="J14" s="30" t="str">
        <x:v>Approved budget appears in Budget vs Actual; locked return cannot be edited without reopen/revision.</x:v>
      </x:c>
      <x:c r="K14" s="30" t="str">
        <x:v>Scenario status must control edits and reporting selection.</x:v>
      </x:c>
      <x:c r="L14" s="30" t="str">
        <x:v>Budget summary; variance report; audit log</x:v>
      </x:c>
      <x:c r="M14" s="30" t="str">
        <x:v>Not Run</x:v>
      </x:c>
      <x:c r="N14" s="30" t="str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  <x:c r="AA14" s="27"/>
      <x:c r="AB14" s="27"/>
    </x:row>
    <x:row r="15">
      <x:c r="A15" s="30" t="str">
        <x:v>WF-011</x:v>
      </x:c>
      <x:c r="B15" s="30" t="str">
        <x:v>Unit Accounting</x:v>
      </x:c>
      <x:c r="C15" s="30" t="str">
        <x:v>UNIT-002</x:v>
      </x:c>
      <x:c r="D15" s="30" t="str">
        <x:v>Unit Journal Entry</x:v>
      </x:c>
      <x:c r="E15" s="30" t="str">
        <x:v>Draft, submit, approve, post, reverse unit journal</x:v>
      </x:c>
      <x:c r="F15" s="30" t="str">
        <x:v>Maker: HR/Operations Analyst; Approver: Finance Manager</x:v>
      </x:c>
      <x:c r="G15" s="30" t="str">
        <x:v>Draft</x:v>
      </x:c>
      <x:c r="H15" s="30" t="str">
        <x:v>Posted then Reversed if reversal tested</x:v>
      </x:c>
      <x:c r="I15" s="30" t="str">
        <x:v>Create headcount/hours UJE, submit, approve, post; then reverse one posted entry with reason.</x:v>
      </x:c>
      <x:c r="J15" s="30" t="str">
        <x:v>Unit account balances update only after posting; reversal creates opposite unit quantities.</x:v>
      </x:c>
      <x:c r="K15" s="30" t="str">
        <x:v>Posting to summary/non-posting account should be blocked before approval.</x:v>
      </x:c>
      <x:c r="L15" s="30" t="str">
        <x:v>Unit journal; unit account balances; audit log</x:v>
      </x:c>
      <x:c r="M15" s="30" t="str">
        <x:v>Not Run</x:v>
      </x:c>
      <x:c r="N15" s="30" t="str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  <x:c r="AA15" s="27"/>
      <x:c r="AB15" s="27"/>
    </x:row>
    <x:row r="16">
      <x:c r="A16" s="30" t="str">
        <x:v>WF-012</x:v>
      </x:c>
      <x:c r="B16" s="30" t="str">
        <x:v>Unit Accounting</x:v>
      </x:c>
      <x:c r="C16" s="30" t="str">
        <x:v>UNIT-003</x:v>
      </x:c>
      <x:c r="D16" s="30" t="str">
        <x:v>Allocation Rule/Post</x:v>
      </x:c>
      <x:c r="E16" s="30" t="str">
        <x:v>Approve allocation rule/change and generated allocation journal</x:v>
      </x:c>
      <x:c r="F16" s="30" t="str">
        <x:v>Maker: Cost Accountant; Approver: Finance Manager</x:v>
      </x:c>
      <x:c r="G16" s="30" t="str">
        <x:v>Draft/Preview</x:v>
      </x:c>
      <x:c r="H16" s="30" t="str">
        <x:v>Posted</x:v>
      </x:c>
      <x:c r="I16" s="30" t="str">
        <x:v>Preview IT overhead allocation by headcount, submit approval, approve and post generated GL allocation.</x:v>
      </x:c>
      <x:c r="J16" s="30" t="str">
        <x:v>Driver percentages total 100% and generated GL journal balances.</x:v>
      </x:c>
      <x:c r="K16" s="30" t="str">
        <x:v>Zero driver balance, missing target segment, and changed driver after approval must be controlled.</x:v>
      </x:c>
      <x:c r="L16" s="30" t="str">
        <x:v>Allocation preview; detailed ledger by segment</x:v>
      </x:c>
      <x:c r="M16" s="30" t="str">
        <x:v>Not Run</x:v>
      </x:c>
      <x:c r="N16" s="30" t="str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  <x:c r="AA16" s="27"/>
      <x:c r="AB16" s="27"/>
    </x:row>
    <x:row r="17">
      <x:c r="A17" s="30" t="str">
        <x:v>WF-013</x:v>
      </x:c>
      <x:c r="B17" s="30" t="str">
        <x:v>Fixed Assets</x:v>
      </x:c>
      <x:c r="C17" s="30" t="str">
        <x:v>FA-ADD-001</x:v>
      </x:c>
      <x:c r="D17" s="30" t="str">
        <x:v>Capital Asset Invoice</x:v>
      </x:c>
      <x:c r="E17" s="30" t="str">
        <x:v>Approve AP invoice and FA capitalization</x:v>
      </x:c>
      <x:c r="F17" s="30" t="str">
        <x:v>Maker: AP/FA Clerk; Approver: Fixed Asset Manager</x:v>
      </x:c>
      <x:c r="G17" s="30" t="str">
        <x:v>Draft</x:v>
      </x:c>
      <x:c r="H17" s="30" t="str">
        <x:v>Capitalized/Posted</x:v>
      </x:c>
      <x:c r="I17" s="30" t="str">
        <x:v>Mark AP line as capitalizable, submit invoice/capitalization for approval, approve and post.</x:v>
      </x:c>
      <x:c r="J17" s="30" t="str">
        <x:v>Fixed asset record links to source AP line and GL capitalization; tax treatment follows configuration.</x:v>
      </x:c>
      <x:c r="K17" s="30" t="str">
        <x:v>Asset should not depreciate before placed-in-service date or before capitalization.</x:v>
      </x:c>
      <x:c r="L17" s="30" t="str">
        <x:v>FA register; AP invoice; detailed ledger 1520/2000</x:v>
      </x:c>
      <x:c r="M17" s="30" t="str">
        <x:v>Not Run</x:v>
      </x:c>
      <x:c r="N17" s="30" t="str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  <x:c r="AA17" s="27"/>
      <x:c r="AB17" s="27"/>
    </x:row>
    <x:row r="18">
      <x:c r="A18" s="30" t="str">
        <x:v>WF-014</x:v>
      </x:c>
      <x:c r="B18" s="30" t="str">
        <x:v>Fixed Assets</x:v>
      </x:c>
      <x:c r="C18" s="30" t="str">
        <x:v>FA-DEP-001</x:v>
      </x:c>
      <x:c r="D18" s="30" t="str">
        <x:v>Depreciation Run</x:v>
      </x:c>
      <x:c r="E18" s="30" t="str">
        <x:v>Preview depreciation, approve/post run</x:v>
      </x:c>
      <x:c r="F18" s="30" t="str">
        <x:v>Maker: FA Accountant; Approver: Finance Manager</x:v>
      </x:c>
      <x:c r="G18" s="30" t="str">
        <x:v>Calculated/Preview</x:v>
      </x:c>
      <x:c r="H18" s="30" t="str">
        <x:v>Posted</x:v>
      </x:c>
      <x:c r="I18" s="30" t="str">
        <x:v>Generate June depreciation preview, review exceptions, approve and post.</x:v>
      </x:c>
      <x:c r="J18" s="30" t="str">
        <x:v>GL total equals depreciation schedule total; run cannot be duplicated for same period.</x:v>
      </x:c>
      <x:c r="K18" s="30" t="str">
        <x:v>Approval should display assets excluded, disposed or not placed in service.</x:v>
      </x:c>
      <x:c r="L18" s="30" t="str">
        <x:v>Depreciation schedule; detailed ledger 6300/1590</x:v>
      </x:c>
      <x:c r="M18" s="30" t="str">
        <x:v>Not Run</x:v>
      </x:c>
      <x:c r="N18" s="30" t="str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  <x:c r="AA18" s="27"/>
      <x:c r="AB18" s="27"/>
    </x:row>
    <x:row r="19">
      <x:c r="A19" s="30" t="str">
        <x:v>WF-015</x:v>
      </x:c>
      <x:c r="B19" s="30" t="str">
        <x:v>Fixed Assets</x:v>
      </x:c>
      <x:c r="C19" s="30" t="str">
        <x:v>FA-TRF-001</x:v>
      </x:c>
      <x:c r="D19" s="30" t="str">
        <x:v>Asset Transfer</x:v>
      </x:c>
      <x:c r="E19" s="30" t="str">
        <x:v>Request, approve, complete/post transfer</x:v>
      </x:c>
      <x:c r="F19" s="30" t="str">
        <x:v>Maker: Asset Custodian; Approver: Asset Manager</x:v>
      </x:c>
      <x:c r="G19" s="30" t="str">
        <x:v>Draft</x:v>
      </x:c>
      <x:c r="H19" s="30" t="str">
        <x:v>Completed/Posted if transfer cost</x:v>
      </x:c>
      <x:c r="I19" s="30" t="str">
        <x:v>Transfer Server Rack System to Development/project P101 through approval workflow.</x:v>
      </x:c>
      <x:c r="J19" s="30" t="str">
        <x:v>Custodian/location/segment snapshots update after completion; GL only if transfer cost requires posting.</x:v>
      </x:c>
      <x:c r="K19" s="30" t="str">
        <x:v>Rejected transfer must not change current asset assignment.</x:v>
      </x:c>
      <x:c r="L19" s="30" t="str">
        <x:v>Asset history; audit log</x:v>
      </x:c>
      <x:c r="M19" s="30" t="str">
        <x:v>Not Run</x:v>
      </x:c>
      <x:c r="N19" s="30" t="str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  <x:c r="AA19" s="27"/>
      <x:c r="AB19" s="27"/>
    </x:row>
    <x:row r="20">
      <x:c r="A20" s="30" t="str">
        <x:v>WF-016</x:v>
      </x:c>
      <x:c r="B20" s="30" t="str">
        <x:v>Fixed Assets</x:v>
      </x:c>
      <x:c r="C20" s="30" t="str">
        <x:v>FA-VAL-001</x:v>
      </x:c>
      <x:c r="D20" s="30" t="str">
        <x:v>Impairment / Valuation</x:v>
      </x:c>
      <x:c r="E20" s="30" t="str">
        <x:v>Calculate valuation, submit, approve, post</x:v>
      </x:c>
      <x:c r="F20" s="30" t="str">
        <x:v>Maker: FA Accountant; Approver: Finance Controller</x:v>
      </x:c>
      <x:c r="G20" s="30" t="str">
        <x:v>Calculated</x:v>
      </x:c>
      <x:c r="H20" s="30" t="str">
        <x:v>Posted</x:v>
      </x:c>
      <x:c r="I20" s="30" t="str">
        <x:v>Enter impairment valuation, attach/reference valuation support, approve and post.</x:v>
      </x:c>
      <x:c r="J20" s="30" t="str">
        <x:v>Book value and GL impairment/revaluation accounts update together.</x:v>
      </x:c>
      <x:c r="K20" s="30" t="str">
        <x:v>Missing impairment/revaluation accounts should block posting before approval completion.</x:v>
      </x:c>
      <x:c r="L20" s="30" t="str">
        <x:v>Asset valuation report; detailed ledger</x:v>
      </x:c>
      <x:c r="M20" s="30" t="str">
        <x:v>Not Run</x:v>
      </x:c>
      <x:c r="N20" s="30" t="str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  <x:c r="AA20" s="27"/>
      <x:c r="AB20" s="27"/>
    </x:row>
    <x:row r="21">
      <x:c r="A21" s="30" t="str">
        <x:v>WF-017</x:v>
      </x:c>
      <x:c r="B21" s="30" t="str">
        <x:v>Fixed Assets</x:v>
      </x:c>
      <x:c r="C21" s="30" t="str">
        <x:v>FA-DISP-001</x:v>
      </x:c>
      <x:c r="D21" s="30" t="str">
        <x:v>Asset Disposal</x:v>
      </x:c>
      <x:c r="E21" s="30" t="str">
        <x:v>Request disposal, approve, post sale/disposal</x:v>
      </x:c>
      <x:c r="F21" s="30" t="str">
        <x:v>Maker: Asset Manager; Approver: Finance Controller</x:v>
      </x:c>
      <x:c r="G21" s="30" t="str">
        <x:v>Draft</x:v>
      </x:c>
      <x:c r="H21" s="30" t="str">
        <x:v>Disposed/Posted</x:v>
      </x:c>
      <x:c r="I21" s="30" t="str">
        <x:v>Dispose truck after depreciation is current, approve and post proceeds/gain/loss.</x:v>
      </x:c>
      <x:c r="J21" s="30" t="str">
        <x:v>Asset status becomes disposed; cost and accumulated depreciation clear; gain/loss posts.</x:v>
      </x:c>
      <x:c r="K21" s="30" t="str">
        <x:v>Cannot dispose inactive/nonexistent asset; cannot depreciate after disposal.</x:v>
      </x:c>
      <x:c r="L21" s="30" t="str">
        <x:v>Disposal register; FA roll-forward; cash ledger</x:v>
      </x:c>
      <x:c r="M21" s="30" t="str">
        <x:v>Not Run</x:v>
      </x:c>
      <x:c r="N21" s="30" t="str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  <x:c r="AA21" s="27"/>
      <x:c r="AB21" s="27"/>
    </x:row>
    <x:row r="22">
      <x:c r="A22" s="30" t="str">
        <x:v>WF-018</x:v>
      </x:c>
      <x:c r="B22" s="30" t="str">
        <x:v>Lease Accounting</x:v>
      </x:c>
      <x:c r="C22" s="30" t="str">
        <x:v>FA-LEASE-001</x:v>
      </x:c>
      <x:c r="D22" s="30" t="str">
        <x:v>Lease Recognition</x:v>
      </x:c>
      <x:c r="E22" s="30" t="str">
        <x:v>Prepare lease schedule, approve recognition, post</x:v>
      </x:c>
      <x:c r="F22" s="30" t="str">
        <x:v>Maker: Lease Accountant; Approver: Finance Controller</x:v>
      </x:c>
      <x:c r="G22" s="30" t="str">
        <x:v>Draft/Calculated</x:v>
      </x:c>
      <x:c r="H22" s="30" t="str">
        <x:v>Recognized/Posted</x:v>
      </x:c>
      <x:c r="I22" s="30" t="str">
        <x:v>Create lease, review ROU/liability schedule, approve and post recognition.</x:v>
      </x:c>
      <x:c r="J22" s="30" t="str">
        <x:v>ROU asset and lease liability balance; schedule agrees to journal.</x:v>
      </x:c>
      <x:c r="K22" s="30" t="str">
        <x:v>Missing lease control accounts should block approval/posting with clear setup error.</x:v>
      </x:c>
      <x:c r="L22" s="30" t="str">
        <x:v>Lease schedule; Balance Sheet</x:v>
      </x:c>
      <x:c r="M22" s="30" t="str">
        <x:v>Not Run</x:v>
      </x:c>
      <x:c r="N22" s="30" t="str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  <x:c r="AA22" s="27"/>
      <x:c r="AB22" s="27"/>
    </x:row>
    <x:row r="23">
      <x:c r="A23" s="30" t="str">
        <x:v>WF-019</x:v>
      </x:c>
      <x:c r="B23" s="30" t="str">
        <x:v>Multi-Currency</x:v>
      </x:c>
      <x:c r="C23" s="30" t="str">
        <x:v>FX-REVAL-001 / FX-REVAL-002</x:v>
      </x:c>
      <x:c r="D23" s="30" t="str">
        <x:v>Currency Revaluation</x:v>
      </x:c>
      <x:c r="E23" s="30" t="str">
        <x:v>Preview, approve, post revaluation batch</x:v>
      </x:c>
      <x:c r="F23" s="30" t="str">
        <x:v>Maker: GL Accountant; Approver: Finance Controller</x:v>
      </x:c>
      <x:c r="G23" s="30" t="str">
        <x:v>Preview</x:v>
      </x:c>
      <x:c r="H23" s="30" t="str">
        <x:v>Posted</x:v>
      </x:c>
      <x:c r="I23" s="30" t="str">
        <x:v>Run revaluation preview, verify prior reversal, approve and post.</x:v>
      </x:c>
      <x:c r="J23" s="30" t="str">
        <x:v>Unrealized FX entries post once; reversal history is linked where applicable.</x:v>
      </x:c>
      <x:c r="K23" s="30" t="str">
        <x:v>Rate changes should be locked/audited after approval; missing rates block posting.</x:v>
      </x:c>
      <x:c r="L23" s="30" t="str">
        <x:v>Multi-currency detail; FX gain/loss report</x:v>
      </x:c>
      <x:c r="M23" s="30" t="str">
        <x:v>Not Run</x:v>
      </x:c>
      <x:c r="N23" s="30" t="str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  <x:c r="AA23" s="27"/>
      <x:c r="AB23" s="27"/>
    </x:row>
    <x:row r="24">
      <x:c r="A24" s="30" t="str">
        <x:v>WF-020</x:v>
      </x:c>
      <x:c r="B24" s="30" t="str">
        <x:v>Cash Management</x:v>
      </x:c>
      <x:c r="C24" s="30" t="str">
        <x:v>BANK-REC-001 / BANK-REC-002</x:v>
      </x:c>
      <x:c r="D24" s="30" t="str">
        <x:v>Bank Reconciliation Adjustments</x:v>
      </x:c>
      <x:c r="E24" s="30" t="str">
        <x:v>Prepare adjustment, approve/post reconciliation</x:v>
      </x:c>
      <x:c r="F24" s="30" t="str">
        <x:v>Maker: Treasury Clerk; Approver: Treasury Lead</x:v>
      </x:c>
      <x:c r="G24" s="30" t="str">
        <x:v>Draft/Unmatched</x:v>
      </x:c>
      <x:c r="H24" s="30" t="str">
        <x:v>Posted/Matched</x:v>
      </x:c>
      <x:c r="I24" s="30" t="str">
        <x:v>Create bank charge and interest adjustments from reconciliation, route for approval if configured, post/match.</x:v>
      </x:c>
      <x:c r="J24" s="30" t="str">
        <x:v>Adjustment journals link to bank statement line and reconciliation batch.</x:v>
      </x:c>
      <x:c r="K24" s="30" t="str">
        <x:v>Duplicate adjustment against same statement line should be blocked.</x:v>
      </x:c>
      <x:c r="L24" s="30" t="str">
        <x:v>Bank reconciliation; cash ledger; audit log</x:v>
      </x:c>
      <x:c r="M24" s="30" t="str">
        <x:v>Not Run</x:v>
      </x:c>
      <x:c r="N24" s="30" t="str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  <x:c r="AA24" s="27"/>
      <x:c r="AB24" s="27"/>
    </x:row>
    <x:row r="25">
      <x:c r="A25" s="30" t="str">
        <x:v>WF-021</x:v>
      </x:c>
      <x:c r="B25" s="30" t="str">
        <x:v>Approvals / Security</x:v>
      </x:c>
      <x:c r="C25" s="30" t="str">
        <x:v>All approval-enabled documents</x:v>
      </x:c>
      <x:c r="D25" s="30" t="str">
        <x:v>Segregation of Duties</x:v>
      </x:c>
      <x:c r="E25" s="30" t="str">
        <x:v>Attempt self-approval and unauthorized approval</x:v>
      </x:c>
      <x:c r="F25" s="30" t="str">
        <x:v>Maker user and user without approval permission</x:v>
      </x:c>
      <x:c r="G25" s="30" t="str">
        <x:v>PendingApproval</x:v>
      </x:c>
      <x:c r="H25" s="30" t="str">
        <x:v>Blocked</x:v>
      </x:c>
      <x:c r="I25" s="30" t="str">
        <x:v>Submit one document and attempt to approve with the same maker user, then with a user lacking approval permission.</x:v>
      </x:c>
      <x:c r="J25" s="30" t="str">
        <x:v>System blocks self-approval/unauthorized approval if policy is enabled.</x:v>
      </x:c>
      <x:c r="K25" s="30" t="str">
        <x:v>If self-approval is intentionally allowed, document the policy decision for UAT sign-off.</x:v>
      </x:c>
      <x:c r="L25" s="30" t="str">
        <x:v>Approval queue; authorization error; audit log</x:v>
      </x:c>
      <x:c r="M25" s="30" t="str">
        <x:v>Not Run</x:v>
      </x:c>
      <x:c r="N25" s="30" t="str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  <x:c r="AA25" s="27"/>
      <x:c r="AB25" s="27"/>
    </x:row>
    <x:row r="26">
      <x:c r="A26" s="30" t="str">
        <x:v>WF-022</x:v>
      </x:c>
      <x:c r="B26" s="30" t="str">
        <x:v>Approvals / Audit</x:v>
      </x:c>
      <x:c r="C26" s="30" t="str">
        <x:v>All posted/rejected documents</x:v>
      </x:c>
      <x:c r="D26" s="30" t="str">
        <x:v>Audit Trail</x:v>
      </x:c>
      <x:c r="E26" s="30" t="str">
        <x:v>Review workflow events and comments</x:v>
      </x:c>
      <x:c r="F26" s="30" t="str">
        <x:v>Tester / Auditor</x:v>
      </x:c>
      <x:c r="G26" s="30" t="str">
        <x:v>Any</x:v>
      </x:c>
      <x:c r="H26" s="30" t="str">
        <x:v>Evidence captured</x:v>
      </x:c>
      <x:c r="I26" s="30" t="str">
        <x:v>For each module, confirm Created, Submitted, Approved/Rejected, Posted, Reversed/Voided events and comments are logged.</x:v>
      </x:c>
      <x:c r="J26" s="30" t="str">
        <x:v>Audit entries identify user, timestamp, entity type/id, action and reason/comment.</x:v>
      </x:c>
      <x:c r="K26" s="30" t="str">
        <x:v>Missing rejection reason or poster identity weakens finance controls.</x:v>
      </x:c>
      <x:c r="L26" s="30" t="str">
        <x:v>Finance audit log export</x:v>
      </x:c>
      <x:c r="M26" s="30" t="str">
        <x:v>Not Run</x:v>
      </x:c>
      <x:c r="N26" s="30" t="str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  <x:c r="AA26" s="27"/>
      <x:c r="AB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  <x:c r="AA27" s="27"/>
      <x:c r="AB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  <x:c r="AA28" s="27"/>
      <x:c r="AB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  <x:c r="AA29" s="27"/>
      <x:c r="AB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  <x:c r="AA30" s="27"/>
      <x:c r="AB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  <x:c r="AA31" s="27"/>
      <x:c r="AB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  <x:c r="AA32" s="27"/>
      <x:c r="AB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  <x:c r="AA33" s="27"/>
      <x:c r="AB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  <x:c r="AA34" s="27"/>
      <x:c r="AB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  <x:c r="AA35" s="27"/>
      <x:c r="AB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  <x:c r="AA36" s="27"/>
      <x:c r="AB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  <x:c r="AA37" s="27"/>
      <x:c r="AB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  <x:c r="AA38" s="27"/>
      <x:c r="AB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  <x:c r="AA39" s="27"/>
      <x:c r="AB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  <x:c r="AA40" s="27"/>
      <x:c r="AB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  <x:c r="AA41" s="27"/>
      <x:c r="AB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  <x:c r="AA42" s="27"/>
      <x:c r="AB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  <x:c r="AA43" s="27"/>
      <x:c r="AB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  <x:c r="AA44" s="27"/>
      <x:c r="AB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  <x:c r="AA45" s="27"/>
      <x:c r="AB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  <x:c r="AA46" s="27"/>
      <x:c r="AB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  <x:c r="AA47" s="27"/>
      <x:c r="AB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  <x:c r="AA48" s="27"/>
      <x:c r="AB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  <x:c r="AA49" s="27"/>
      <x:c r="AB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  <x:c r="AA50" s="27"/>
      <x:c r="AB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  <x:c r="AA51" s="27"/>
      <x:c r="AB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  <x:c r="AA52" s="27"/>
      <x:c r="AB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  <x:c r="AA53" s="27"/>
      <x:c r="AB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  <x:c r="AA54" s="27"/>
      <x:c r="AB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  <x:c r="AA55" s="27"/>
      <x:c r="AB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  <x:c r="AA56" s="27"/>
      <x:c r="AB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  <x:c r="AA57" s="27"/>
      <x:c r="AB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  <x:c r="AA58" s="27"/>
      <x:c r="AB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  <x:c r="AA59" s="27"/>
      <x:c r="AB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  <x:c r="AA60" s="27"/>
      <x:c r="AB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  <x:c r="AA61" s="27"/>
      <x:c r="AB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  <x:c r="AA62" s="27"/>
      <x:c r="AB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  <x:c r="AA63" s="27"/>
      <x:c r="AB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  <x:c r="AA64" s="27"/>
      <x:c r="AB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  <x:c r="AA65" s="27"/>
      <x:c r="AB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  <x:c r="AA66" s="27"/>
      <x:c r="AB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  <x:c r="AA67" s="27"/>
      <x:c r="AB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  <x:c r="AA68" s="27"/>
      <x:c r="AB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  <x:c r="AA69" s="27"/>
      <x:c r="AB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  <x:c r="AA70" s="27"/>
      <x:c r="AB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  <x:c r="AA71" s="27"/>
      <x:c r="AB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  <x:c r="AA72" s="27"/>
      <x:c r="AB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  <x:c r="AA73" s="27"/>
      <x:c r="AB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  <x:c r="AA74" s="27"/>
      <x:c r="AB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  <x:c r="AA75" s="27"/>
      <x:c r="AB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  <x:c r="AA76" s="27"/>
      <x:c r="AB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  <x:c r="AA77" s="27"/>
      <x:c r="AB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  <x:c r="AA78" s="27"/>
      <x:c r="AB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  <x:c r="AA79" s="27"/>
      <x:c r="AB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  <x:c r="AA80" s="27"/>
      <x:c r="AB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  <x:c r="AA81" s="27"/>
      <x:c r="AB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  <x:c r="AA82" s="27"/>
      <x:c r="AB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  <x:c r="AA83" s="27"/>
      <x:c r="AB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  <x:c r="AA84" s="27"/>
      <x:c r="AB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  <x:c r="AA85" s="27"/>
      <x:c r="AB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  <x:c r="AA86" s="27"/>
      <x:c r="AB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  <x:c r="AA87" s="27"/>
      <x:c r="AB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  <x:c r="AA88" s="27"/>
      <x:c r="AB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  <x:c r="AA89" s="27"/>
      <x:c r="AB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  <x:c r="AA90" s="27"/>
      <x:c r="AB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  <x:c r="AA91" s="27"/>
      <x:c r="AB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  <x:c r="AA92" s="27"/>
      <x:c r="AB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  <x:c r="AA93" s="27"/>
      <x:c r="AB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  <x:c r="AA94" s="27"/>
      <x:c r="AB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  <x:c r="AA95" s="27"/>
      <x:c r="AB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  <x:c r="AA96" s="27"/>
      <x:c r="AB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  <x:c r="AA97" s="27"/>
      <x:c r="AB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  <x:c r="AA98" s="27"/>
      <x:c r="AB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  <x:c r="AA99" s="27"/>
      <x:c r="AB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  <x:c r="AA100" s="27"/>
      <x:c r="AB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  <x:c r="AA101" s="27"/>
      <x:c r="AB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  <x:c r="AA102" s="27"/>
      <x:c r="AB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  <x:c r="AA103" s="27"/>
      <x:c r="AB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  <x:c r="AA104" s="27"/>
      <x:c r="AB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  <x:c r="AA105" s="27"/>
      <x:c r="AB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  <x:c r="AA106" s="27"/>
      <x:c r="AB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  <x:c r="AA107" s="27"/>
      <x:c r="AB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  <x:c r="AA108" s="27"/>
      <x:c r="AB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  <x:c r="AA109" s="27"/>
      <x:c r="AB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  <x:c r="AA110" s="27"/>
      <x:c r="AB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  <x:c r="AA111" s="27"/>
      <x:c r="AB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  <x:c r="AA112" s="27"/>
      <x:c r="AB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  <x:c r="AA113" s="27"/>
      <x:c r="AB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  <x:c r="AA114" s="27"/>
      <x:c r="AB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  <x:c r="AA115" s="27"/>
      <x:c r="AB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  <x:c r="AA116" s="27"/>
      <x:c r="AB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  <x:c r="AA117" s="27"/>
      <x:c r="AB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  <x:c r="AA118" s="27"/>
      <x:c r="AB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  <x:c r="AA119" s="27"/>
      <x:c r="AB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  <x:c r="AA120" s="27"/>
      <x:c r="AB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  <x:c r="AA121" s="27"/>
      <x:c r="AB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  <x:c r="AA122" s="27"/>
      <x:c r="AB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  <x:c r="AA123" s="27"/>
      <x:c r="AB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  <x:c r="AA124" s="27"/>
      <x:c r="AB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  <x:c r="AA125" s="27"/>
      <x:c r="AB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  <x:c r="AA126" s="27"/>
      <x:c r="AB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  <x:c r="AA127" s="27"/>
      <x:c r="AB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  <x:c r="AA128" s="27"/>
      <x:c r="AB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  <x:c r="AA129" s="27"/>
      <x:c r="AB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  <x:c r="AA130" s="27"/>
      <x:c r="AB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  <x:c r="AA131" s="27"/>
      <x:c r="AB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  <x:c r="AA132" s="27"/>
      <x:c r="AB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  <x:c r="AA133" s="27"/>
      <x:c r="AB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  <x:c r="AA134" s="27"/>
      <x:c r="AB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  <x:c r="AA135" s="27"/>
      <x:c r="AB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  <x:c r="AA136" s="27"/>
      <x:c r="AB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  <x:c r="AA137" s="27"/>
      <x:c r="AB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  <x:c r="AA138" s="27"/>
      <x:c r="AB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  <x:c r="AA139" s="27"/>
      <x:c r="AB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  <x:c r="AA140" s="27"/>
      <x:c r="AB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  <x:c r="AA141" s="27"/>
      <x:c r="AB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  <x:c r="AA142" s="27"/>
      <x:c r="AB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  <x:c r="AA143" s="27"/>
      <x:c r="AB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  <x:c r="AA144" s="27"/>
      <x:c r="AB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  <x:c r="AA145" s="27"/>
      <x:c r="AB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  <x:c r="AA146" s="27"/>
      <x:c r="AB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  <x:c r="AA147" s="27"/>
      <x:c r="AB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  <x:c r="AA148" s="27"/>
      <x:c r="AB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  <x:c r="AA149" s="27"/>
      <x:c r="AB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  <x:c r="AA150" s="27"/>
      <x:c r="AB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  <x:c r="AA151" s="27"/>
      <x:c r="AB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  <x:c r="AA152" s="27"/>
      <x:c r="AB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  <x:c r="AA153" s="27"/>
      <x:c r="AB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  <x:c r="AA154" s="27"/>
      <x:c r="AB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  <x:c r="AA155" s="27"/>
      <x:c r="AB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  <x:c r="AA156" s="27"/>
      <x:c r="AB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  <x:c r="AA157" s="27"/>
      <x:c r="AB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  <x:c r="AA158" s="27"/>
      <x:c r="AB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  <x:c r="AA159" s="27"/>
      <x:c r="AB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  <x:c r="AA160" s="27"/>
      <x:c r="AB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  <x:c r="AA161" s="27"/>
      <x:c r="AB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  <x:c r="AA162" s="27"/>
      <x:c r="AB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  <x:c r="AA163" s="27"/>
      <x:c r="AB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  <x:c r="AA164" s="27"/>
      <x:c r="AB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  <x:c r="AA165" s="27"/>
      <x:c r="AB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  <x:c r="AA166" s="27"/>
      <x:c r="AB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  <x:c r="AA167" s="27"/>
      <x:c r="AB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  <x:c r="AA168" s="27"/>
      <x:c r="AB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  <x:c r="AA169" s="27"/>
      <x:c r="AB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  <x:c r="AA170" s="27"/>
      <x:c r="AB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  <x:c r="AA171" s="27"/>
      <x:c r="AB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  <x:c r="AA172" s="27"/>
      <x:c r="AB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  <x:c r="AA173" s="27"/>
      <x:c r="AB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  <x:c r="AA174" s="27"/>
      <x:c r="AB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  <x:c r="AA175" s="27"/>
      <x:c r="AB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  <x:c r="AA176" s="27"/>
      <x:c r="AB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  <x:c r="AA177" s="27"/>
      <x:c r="AB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  <x:c r="AA178" s="27"/>
      <x:c r="AB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  <x:c r="AA179" s="27"/>
      <x:c r="AB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  <x:c r="AA180" s="27"/>
      <x:c r="AB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  <x:c r="AA181" s="27"/>
      <x:c r="AB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  <x:c r="AA182" s="27"/>
      <x:c r="AB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  <x:c r="AA183" s="27"/>
      <x:c r="AB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  <x:c r="AA184" s="27"/>
      <x:c r="AB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  <x:c r="AA185" s="27"/>
      <x:c r="AB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  <x:c r="AA186" s="27"/>
      <x:c r="AB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  <x:c r="AA187" s="27"/>
      <x:c r="AB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  <x:c r="AA188" s="27"/>
      <x:c r="AB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  <x:c r="AA189" s="27"/>
      <x:c r="AB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  <x:c r="AA190" s="27"/>
      <x:c r="AB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  <x:c r="AA191" s="27"/>
      <x:c r="AB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  <x:c r="AA192" s="27"/>
      <x:c r="AB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  <x:c r="AA193" s="27"/>
      <x:c r="AB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  <x:c r="AA194" s="27"/>
      <x:c r="AB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  <x:c r="AA195" s="27"/>
      <x:c r="AB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  <x:c r="AA196" s="27"/>
      <x:c r="AB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  <x:c r="AA197" s="27"/>
      <x:c r="AB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  <x:c r="AA198" s="27"/>
      <x:c r="AB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  <x:c r="AA199" s="27"/>
      <x:c r="AB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  <x:c r="AA200" s="27"/>
      <x:c r="AB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  <x:c r="AA201" s="27"/>
      <x:c r="AB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  <x:c r="AA202" s="27"/>
      <x:c r="AB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  <x:c r="AA203" s="27"/>
      <x:c r="AB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  <x:c r="AA204" s="27"/>
      <x:c r="AB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  <x:c r="AA205" s="27"/>
      <x:c r="AB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  <x:c r="Z206" s="27"/>
      <x:c r="AA206" s="27"/>
      <x:c r="AB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  <x:c r="Z207" s="27"/>
      <x:c r="AA207" s="27"/>
      <x:c r="AB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  <x:c r="Z208" s="27"/>
      <x:c r="AA208" s="27"/>
      <x:c r="AB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  <x:c r="Z209" s="27"/>
      <x:c r="AA209" s="27"/>
      <x:c r="AB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  <x:c r="Z210" s="27"/>
      <x:c r="AA210" s="27"/>
      <x:c r="AB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  <x:c r="Z211" s="27"/>
      <x:c r="AA211" s="27"/>
      <x:c r="AB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  <x:c r="Z212" s="27"/>
      <x:c r="AA212" s="27"/>
      <x:c r="AB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  <x:c r="Z213" s="27"/>
      <x:c r="AA213" s="27"/>
      <x:c r="AB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  <x:c r="Z214" s="27"/>
      <x:c r="AA214" s="27"/>
      <x:c r="AB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  <x:c r="Z215" s="27"/>
      <x:c r="AA215" s="27"/>
      <x:c r="AB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  <x:c r="Z216" s="27"/>
      <x:c r="AA216" s="27"/>
      <x:c r="AB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  <x:c r="Z217" s="27"/>
      <x:c r="AA217" s="27"/>
      <x:c r="AB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  <x:c r="Z218" s="27"/>
      <x:c r="AA218" s="27"/>
      <x:c r="AB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  <x:c r="Z219" s="27"/>
      <x:c r="AA219" s="27"/>
      <x:c r="AB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  <x:c r="Z220" s="27"/>
      <x:c r="AA220" s="27"/>
      <x:c r="AB220" s="27"/>
    </x:row>
  </x:sheetData>
  <x:conditionalFormatting sqref="M5:M26">
    <x:cfRule type="containsText" dxfId="4" priority="1" operator="containsText" text="Pass"/>
    <x:cfRule type="containsText" dxfId="5" priority="2" operator="containsText" text="Fail"/>
    <x:cfRule type="containsText" dxfId="6" priority="3" operator="containsText" text="Blocked"/>
  </x:conditionalFormatting>
  <x:dataValidations count="1">
    <x:dataValidation type="list" sqref="M5:M26">
      <x:formula1>"Not Run,Pass,Fail,Blocked,N/A"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22" hidden="0" customWidth="1"/>
    <x:col min="4" max="4" width="26" hidden="0" customWidth="1"/>
    <x:col min="5" max="5" width="22" hidden="0" customWidth="1"/>
    <x:col min="6" max="6" width="28" hidden="0" customWidth="1"/>
    <x:col min="7" max="7" width="10" hidden="0" customWidth="1"/>
    <x:col min="8" max="8" width="12" hidden="0" customWidth="1"/>
    <x:col min="9" max="9" width="9" hidden="0" customWidth="1"/>
    <x:col min="10" max="10" width="10" hidden="0" customWidth="1"/>
    <x:col min="11" max="11" width="44" hidden="0" customWidth="1"/>
    <x:col min="12" max="12" width="8" hidden="0" customWidth="1"/>
    <x:col min="13" max="13" width="14" hidden="0" customWidth="1"/>
    <x:col min="14" max="14" width="14" hidden="0" customWidth="1"/>
    <x:col min="15" max="15" width="12" hidden="0" customWidth="1"/>
    <x:col min="16" max="16" width="14" hidden="0" customWidth="1"/>
    <x:col min="17" max="17" width="16" hidden="0" customWidth="1"/>
    <x:col min="18" max="18" width="12" hidden="0" customWidth="1"/>
    <x:col min="19" max="19" width="14" hidden="0" customWidth="1"/>
    <x:col min="20" max="20" width="12" hidden="0" customWidth="1"/>
    <x:col min="21" max="21" width="14" hidden="0" customWidth="1"/>
    <x:col min="22" max="22" width="16" hidden="0" customWidth="1"/>
    <x:col min="23" max="23" width="16" hidden="0" customWidth="1"/>
    <x:col min="24" max="24" width="16" hidden="0" customWidth="1"/>
    <x:col min="25" max="25" width="13" hidden="0" customWidth="1"/>
    <x:col min="26" max="26" width="18" hidden="0" customWidth="1"/>
    <x:col min="27" max="27" width="16" hidden="0" customWidth="1"/>
    <x:col min="28" max="28" width="54" hidden="0" customWidth="1"/>
  </x:cols>
  <x:sheetData>
    <x:row r="1" ht="28" customHeight="1">
      <x:c r="A1" s="26" t="str">
        <x:v>Transaction Data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7"/>
      <x:c r="Z1" s="27"/>
      <x:c r="AA1" s="27"/>
      <x:c r="AB1" s="27"/>
    </x:row>
    <x:row r="2" ht="46" customHeight="1">
      <x:c r="A2" s="28" t="str">
        <x:v>Document-level transactions for manual entry. Amount formulas calculate transaction currency and base currency totals.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7"/>
      <x:c r="Z2" s="27"/>
      <x:c r="AA2" s="27"/>
      <x:c r="AB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</x:row>
    <x:row r="4">
      <x:c r="A4" s="31" t="str">
        <x:v>Txn ID</x:v>
      </x:c>
      <x:c r="B4" s="31" t="str">
        <x:v>Date</x:v>
      </x:c>
      <x:c r="C4" s="31" t="str">
        <x:v>Module</x:v>
      </x:c>
      <x:c r="D4" s="31" t="str">
        <x:v>Document Type</x:v>
      </x:c>
      <x:c r="E4" s="31" t="str">
        <x:v>Partner Code</x:v>
      </x:c>
      <x:c r="F4" s="31" t="str">
        <x:v>Partner Name</x:v>
      </x:c>
      <x:c r="G4" s="31" t="str">
        <x:v>Currency</x:v>
      </x:c>
      <x:c r="H4" s="31" t="str">
        <x:v>Rate to GHS</x:v>
      </x:c>
      <x:c r="I4" s="31" t="str">
        <x:v>Dept</x:v>
      </x:c>
      <x:c r="J4" s="31" t="str">
        <x:v>Project</x:v>
      </x:c>
      <x:c r="K4" s="31" t="str">
        <x:v>Description</x:v>
      </x:c>
      <x:c r="L4" s="31" t="str">
        <x:v>Qty</x:v>
      </x:c>
      <x:c r="M4" s="31" t="str">
        <x:v>Unit Price</x:v>
      </x:c>
      <x:c r="N4" s="31" t="str">
        <x:v>Subtotal</x:v>
      </x:c>
      <x:c r="O4" s="31" t="str">
        <x:v>Discount %</x:v>
      </x:c>
      <x:c r="P4" s="31" t="str">
        <x:v>Discount Amt</x:v>
      </x:c>
      <x:c r="Q4" s="31" t="str">
        <x:v>Tax Group</x:v>
      </x:c>
      <x:c r="R4" s="31" t="str">
        <x:v>Tax Rate %</x:v>
      </x:c>
      <x:c r="S4" s="31" t="str">
        <x:v>Tax Amt</x:v>
      </x:c>
      <x:c r="T4" s="31" t="str">
        <x:v>WHT Rate %</x:v>
      </x:c>
      <x:c r="U4" s="31" t="str">
        <x:v>WHT Amt</x:v>
      </x:c>
      <x:c r="V4" s="31" t="str">
        <x:v>Gross/Doc Total</x:v>
      </x:c>
      <x:c r="W4" s="31" t="str">
        <x:v>Base Total GHS</x:v>
      </x:c>
      <x:c r="X4" s="31" t="str">
        <x:v>Payment Term</x:v>
      </x:c>
      <x:c r="Y4" s="31" t="str">
        <x:v>Due Date</x:v>
      </x:c>
      <x:c r="Z4" s="31" t="str">
        <x:v>Expected Status</x:v>
      </x:c>
      <x:c r="AA4" s="31" t="str">
        <x:v>Linked Txn</x:v>
      </x:c>
      <x:c r="AB4" s="31" t="str">
        <x:v>Notes</x:v>
      </x:c>
    </x:row>
    <x:row r="5">
      <x:c r="A5" s="30" t="str">
        <x:v>OB-AR-001</x:v>
      </x:c>
      <x:c r="B5" s="32" t="n">
        <x:v>46174</x:v>
      </x:c>
      <x:c r="C5" s="30" t="str">
        <x:v>Opening Balances</x:v>
      </x:c>
      <x:c r="D5" s="30" t="str">
        <x:v>AR Opening Invoice</x:v>
      </x:c>
      <x:c r="E5" s="30" t="str">
        <x:v>CUST-GH-GOLDCOAST</x:v>
      </x:c>
      <x:c r="F5" s="30" t="str">
        <x:v>Golden Coast Homes Ltd</x:v>
      </x:c>
      <x:c r="G5" s="30" t="str">
        <x:v>GHS</x:v>
      </x:c>
      <x:c r="H5" s="30" t="n">
        <x:v>1</x:v>
      </x:c>
      <x:c r="I5" s="30" t="str">
        <x:v>100</x:v>
      </x:c>
      <x:c r="J5" s="30" t="str">
        <x:v>0000</x:v>
      </x:c>
      <x:c r="K5" s="30" t="str">
        <x:v>Opening receivable - local customer</x:v>
      </x:c>
      <x:c r="L5" s="30" t="n">
        <x:v>1</x:v>
      </x:c>
      <x:c r="M5" s="33" t="n">
        <x:v>97500</x:v>
      </x:c>
      <x:c r="N5" s="33" t="n">
        <x:f>L5*M5</x:f>
        <x:v>97500</x:v>
      </x:c>
      <x:c r="O5" s="34" t="n">
        <x:v>0</x:v>
      </x:c>
      <x:c r="P5" s="33" t="n">
        <x:f>N5*O5/100</x:f>
        <x:v>0</x:v>
      </x:c>
      <x:c r="Q5" s="33" t="str"/>
      <x:c r="R5" s="35" t="n">
        <x:v>0</x:v>
      </x:c>
      <x:c r="S5" s="33" t="n">
        <x:f>(N5-P5)*R5/100</x:f>
        <x:v>0</x:v>
      </x:c>
      <x:c r="T5" s="35" t="n">
        <x:v>0</x:v>
      </x:c>
      <x:c r="U5" s="33" t="n">
        <x:f>(N5-P5)*T5/100</x:f>
        <x:v>0</x:v>
      </x:c>
      <x:c r="V5" s="33" t="n">
        <x:f>N5-P5+S5</x:f>
        <x:v>97500</x:v>
      </x:c>
      <x:c r="W5" s="33" t="n">
        <x:f>V5*H5</x:f>
        <x:v>97500</x:v>
      </x:c>
      <x:c r="X5" s="30" t="str">
        <x:v>NET30</x:v>
      </x:c>
      <x:c r="Y5" s="32" t="n">
        <x:v>46204</x:v>
      </x:c>
      <x:c r="Z5" s="30" t="str">
        <x:v>Posted</x:v>
      </x:c>
      <x:c r="AA5" s="30" t="str"/>
      <x:c r="AB5" s="30" t="str">
        <x:v>Subledger opening AR; migration clearing should net to zero.</x:v>
      </x:c>
    </x:row>
    <x:row r="6">
      <x:c r="A6" s="30" t="str">
        <x:v>OB-AR-002</x:v>
      </x:c>
      <x:c r="B6" s="32" t="n">
        <x:v>46174</x:v>
      </x:c>
      <x:c r="C6" s="30" t="str">
        <x:v>Opening Balances</x:v>
      </x:c>
      <x:c r="D6" s="30" t="str">
        <x:v>AR Opening Invoice</x:v>
      </x:c>
      <x:c r="E6" s="30" t="str">
        <x:v>CUS260001</x:v>
      </x:c>
      <x:c r="F6" s="30" t="str">
        <x:v>USD Customer</x:v>
      </x:c>
      <x:c r="G6" s="30" t="str">
        <x:v>USD</x:v>
      </x:c>
      <x:c r="H6" s="30" t="n">
        <x:v>12.5</x:v>
      </x:c>
      <x:c r="I6" s="30" t="str">
        <x:v>100</x:v>
      </x:c>
      <x:c r="J6" s="30" t="str">
        <x:v>0000</x:v>
      </x:c>
      <x:c r="K6" s="30" t="str">
        <x:v>Opening receivable - USD customer</x:v>
      </x:c>
      <x:c r="L6" s="30" t="n">
        <x:v>1</x:v>
      </x:c>
      <x:c r="M6" s="33" t="n">
        <x:v>7000</x:v>
      </x:c>
      <x:c r="N6" s="33" t="n">
        <x:f>L6*M6</x:f>
        <x:v>7000</x:v>
      </x:c>
      <x:c r="O6" s="34" t="n">
        <x:v>0</x:v>
      </x:c>
      <x:c r="P6" s="33" t="n">
        <x:f>N6*O6/100</x:f>
        <x:v>0</x:v>
      </x:c>
      <x:c r="Q6" s="33" t="str"/>
      <x:c r="R6" s="35" t="n">
        <x:v>0</x:v>
      </x:c>
      <x:c r="S6" s="33" t="n">
        <x:f>(N6-P6)*R6/100</x:f>
        <x:v>0</x:v>
      </x:c>
      <x:c r="T6" s="35" t="n">
        <x:v>0</x:v>
      </x:c>
      <x:c r="U6" s="33" t="n">
        <x:f>(N6-P6)*T6/100</x:f>
        <x:v>0</x:v>
      </x:c>
      <x:c r="V6" s="33" t="n">
        <x:f>N6-P6+S6</x:f>
        <x:v>7000</x:v>
      </x:c>
      <x:c r="W6" s="33" t="n">
        <x:f>V6*H6</x:f>
        <x:v>87500</x:v>
      </x:c>
      <x:c r="X6" s="30" t="str">
        <x:v>NET30</x:v>
      </x:c>
      <x:c r="Y6" s="32" t="n">
        <x:v>46204</x:v>
      </x:c>
      <x:c r="Z6" s="30" t="str">
        <x:v>Posted</x:v>
      </x:c>
      <x:c r="AA6" s="30" t="str"/>
      <x:c r="AB6" s="30" t="str">
        <x:v>Tests USD AR opening balance and later revaluation.</x:v>
      </x:c>
    </x:row>
    <x:row r="7">
      <x:c r="A7" s="30" t="str">
        <x:v>OB-AP-001</x:v>
      </x:c>
      <x:c r="B7" s="32" t="n">
        <x:v>46174</x:v>
      </x:c>
      <x:c r="C7" s="30" t="str">
        <x:v>Opening Balances</x:v>
      </x:c>
      <x:c r="D7" s="30" t="str">
        <x:v>AP Opening Invoice</x:v>
      </x:c>
      <x:c r="E7" s="30" t="str">
        <x:v>SUP260001</x:v>
      </x:c>
      <x:c r="F7" s="30" t="str">
        <x:v>USD Supplier</x:v>
      </x:c>
      <x:c r="G7" s="30" t="str">
        <x:v>USD</x:v>
      </x:c>
      <x:c r="H7" s="30" t="n">
        <x:v>12.5</x:v>
      </x:c>
      <x:c r="I7" s="30" t="str">
        <x:v>100</x:v>
      </x:c>
      <x:c r="J7" s="30" t="str">
        <x:v>0000</x:v>
      </x:c>
      <x:c r="K7" s="30" t="str">
        <x:v>Opening payable - USD supplier</x:v>
      </x:c>
      <x:c r="L7" s="30" t="n">
        <x:v>1</x:v>
      </x:c>
      <x:c r="M7" s="33" t="n">
        <x:v>6000</x:v>
      </x:c>
      <x:c r="N7" s="33" t="n">
        <x:f>L7*M7</x:f>
        <x:v>6000</x:v>
      </x:c>
      <x:c r="O7" s="34" t="n">
        <x:v>0</x:v>
      </x:c>
      <x:c r="P7" s="33" t="n">
        <x:f>N7*O7/100</x:f>
        <x:v>0</x:v>
      </x:c>
      <x:c r="Q7" s="33" t="str"/>
      <x:c r="R7" s="35" t="n">
        <x:v>0</x:v>
      </x:c>
      <x:c r="S7" s="33" t="n">
        <x:f>(N7-P7)*R7/100</x:f>
        <x:v>0</x:v>
      </x:c>
      <x:c r="T7" s="35" t="n">
        <x:v>0</x:v>
      </x:c>
      <x:c r="U7" s="33" t="n">
        <x:f>(N7-P7)*T7/100</x:f>
        <x:v>0</x:v>
      </x:c>
      <x:c r="V7" s="33" t="n">
        <x:f>N7-P7+S7</x:f>
        <x:v>6000</x:v>
      </x:c>
      <x:c r="W7" s="33" t="n">
        <x:f>V7*H7</x:f>
        <x:v>75000</x:v>
      </x:c>
      <x:c r="X7" s="30" t="str">
        <x:v>NET30</x:v>
      </x:c>
      <x:c r="Y7" s="32" t="n">
        <x:v>46204</x:v>
      </x:c>
      <x:c r="Z7" s="30" t="str">
        <x:v>Posted</x:v>
      </x:c>
      <x:c r="AA7" s="30" t="str"/>
      <x:c r="AB7" s="30" t="str">
        <x:v>Tests USD AP opening balance and later revaluation.</x:v>
      </x:c>
    </x:row>
    <x:row r="8">
      <x:c r="A8" s="30" t="str">
        <x:v>OB-AP-002</x:v>
      </x:c>
      <x:c r="B8" s="32" t="n">
        <x:v>46174</x:v>
      </x:c>
      <x:c r="C8" s="30" t="str">
        <x:v>Opening Balances</x:v>
      </x:c>
      <x:c r="D8" s="30" t="str">
        <x:v>AP Opening Invoice</x:v>
      </x:c>
      <x:c r="E8" s="30" t="str">
        <x:v>CONT-GH-ADOM-BUILD</x:v>
      </x:c>
      <x:c r="F8" s="30" t="str">
        <x:v>Adom Construction Ltd</x:v>
      </x:c>
      <x:c r="G8" s="30" t="str">
        <x:v>GHS</x:v>
      </x:c>
      <x:c r="H8" s="30" t="n">
        <x:v>1</x:v>
      </x:c>
      <x:c r="I8" s="30" t="str">
        <x:v>300</x:v>
      </x:c>
      <x:c r="J8" s="30" t="str">
        <x:v>P101</x:v>
      </x:c>
      <x:c r="K8" s="30" t="str">
        <x:v>Opening payable - contractor retention</x:v>
      </x:c>
      <x:c r="L8" s="30" t="n">
        <x:v>1</x:v>
      </x:c>
      <x:c r="M8" s="33" t="n">
        <x:v>50000</x:v>
      </x:c>
      <x:c r="N8" s="33" t="n">
        <x:f>L8*M8</x:f>
        <x:v>50000</x:v>
      </x:c>
      <x:c r="O8" s="34" t="n">
        <x:v>0</x:v>
      </x:c>
      <x:c r="P8" s="33" t="n">
        <x:f>N8*O8/100</x:f>
        <x:v>0</x:v>
      </x:c>
      <x:c r="Q8" s="33" t="str"/>
      <x:c r="R8" s="35" t="n">
        <x:v>0</x:v>
      </x:c>
      <x:c r="S8" s="33" t="n">
        <x:f>(N8-P8)*R8/100</x:f>
        <x:v>0</x:v>
      </x:c>
      <x:c r="T8" s="35" t="n">
        <x:v>0</x:v>
      </x:c>
      <x:c r="U8" s="33" t="n">
        <x:f>(N8-P8)*T8/100</x:f>
        <x:v>0</x:v>
      </x:c>
      <x:c r="V8" s="33" t="n">
        <x:f>N8-P8+S8</x:f>
        <x:v>50000</x:v>
      </x:c>
      <x:c r="W8" s="33" t="n">
        <x:f>V8*H8</x:f>
        <x:v>50000</x:v>
      </x:c>
      <x:c r="X8" s="30" t="str">
        <x:v>NET30</x:v>
      </x:c>
      <x:c r="Y8" s="32" t="n">
        <x:v>46204</x:v>
      </x:c>
      <x:c r="Z8" s="30" t="str">
        <x:v>Posted</x:v>
      </x:c>
      <x:c r="AA8" s="30" t="str"/>
      <x:c r="AB8" s="30" t="str">
        <x:v>Local AP opening item for supplier statement.</x:v>
      </x:c>
    </x:row>
    <x:row r="9">
      <x:c r="A9" s="30" t="str">
        <x:v>OB-GL-001</x:v>
      </x:c>
      <x:c r="B9" s="32" t="n">
        <x:v>46174</x:v>
      </x:c>
      <x:c r="C9" s="30" t="str">
        <x:v>Opening Balances</x:v>
      </x:c>
      <x:c r="D9" s="30" t="str">
        <x:v>GL Opening Batch</x:v>
      </x:c>
      <x:c r="E9" s="30" t="str"/>
      <x:c r="F9" s="30" t="str"/>
      <x:c r="G9" s="30" t="str">
        <x:v>GHS</x:v>
      </x:c>
      <x:c r="H9" s="30" t="n">
        <x:v>1</x:v>
      </x:c>
      <x:c r="I9" s="30" t="str">
        <x:v>000</x:v>
      </x:c>
      <x:c r="J9" s="30" t="str">
        <x:v>0000</x:v>
      </x:c>
      <x:c r="K9" s="30" t="str">
        <x:v>Opening GL balances for cash, inventory, fixed assets, liabilities and equity</x:v>
      </x:c>
      <x:c r="L9" s="30" t="n">
        <x:v>1</x:v>
      </x:c>
      <x:c r="M9" s="33" t="n">
        <x:v>0</x:v>
      </x:c>
      <x:c r="N9" s="33" t="n">
        <x:f>L9*M9</x:f>
        <x:v>0</x:v>
      </x:c>
      <x:c r="O9" s="34" t="n">
        <x:v>0</x:v>
      </x:c>
      <x:c r="P9" s="33" t="n">
        <x:f>N9*O9/100</x:f>
        <x:v>0</x:v>
      </x:c>
      <x:c r="Q9" s="33" t="str"/>
      <x:c r="R9" s="35" t="n">
        <x:v>0</x:v>
      </x:c>
      <x:c r="S9" s="33" t="n">
        <x:f>(N9-P9)*R9/100</x:f>
        <x:v>0</x:v>
      </x:c>
      <x:c r="T9" s="35" t="n">
        <x:v>0</x:v>
      </x:c>
      <x:c r="U9" s="33" t="n">
        <x:f>(N9-P9)*T9/100</x:f>
        <x:v>0</x:v>
      </x:c>
      <x:c r="V9" s="33" t="n">
        <x:f>N9-P9+S9</x:f>
        <x:v>0</x:v>
      </x:c>
      <x:c r="W9" s="33" t="n">
        <x:f>V9*H9</x:f>
        <x:v>0</x:v>
      </x:c>
      <x:c r="X9" s="30" t="str"/>
      <x:c r="Y9" s="32"/>
      <x:c r="Z9" s="30" t="str">
        <x:v>Posted</x:v>
      </x:c>
      <x:c r="AA9" s="30" t="str"/>
      <x:c r="AB9" s="30" t="str">
        <x:v>Use opening-balance batch; 1990 migration clearing should be zero after all opening entries.</x:v>
      </x:c>
    </x:row>
    <x:row r="10">
      <x:c r="A10" s="30" t="str">
        <x:v>AR-INV-001</x:v>
      </x:c>
      <x:c r="B10" s="32" t="n">
        <x:v>46176</x:v>
      </x:c>
      <x:c r="C10" s="30" t="str">
        <x:v>Accounts Receivable</x:v>
      </x:c>
      <x:c r="D10" s="30" t="str">
        <x:v>Customer Invoice</x:v>
      </x:c>
      <x:c r="E10" s="30" t="str">
        <x:v>CUST-GH-GOLDCOAST</x:v>
      </x:c>
      <x:c r="F10" s="30" t="str">
        <x:v>Golden Coast Homes Ltd</x:v>
      </x:c>
      <x:c r="G10" s="30" t="str">
        <x:v>GHS</x:v>
      </x:c>
      <x:c r="H10" s="30" t="n">
        <x:v>1</x:v>
      </x:c>
      <x:c r="I10" s="30" t="str">
        <x:v>100</x:v>
      </x:c>
      <x:c r="J10" s="30" t="str">
        <x:v>P101</x:v>
      </x:c>
      <x:c r="K10" s="30" t="str">
        <x:v>Property management services - June</x:v>
      </x:c>
      <x:c r="L10" s="30" t="n">
        <x:v>10</x:v>
      </x:c>
      <x:c r="M10" s="33" t="n">
        <x:v>8000</x:v>
      </x:c>
      <x:c r="N10" s="33" t="n">
        <x:f>L10*M10</x:f>
        <x:v>80000</x:v>
      </x:c>
      <x:c r="O10" s="34" t="n">
        <x:v>0</x:v>
      </x:c>
      <x:c r="P10" s="33" t="n">
        <x:f>N10*O10/100</x:f>
        <x:v>0</x:v>
      </x:c>
      <x:c r="Q10" s="33" t="str">
        <x:v>VAT-STD-SCHEME</x:v>
      </x:c>
      <x:c r="R10" s="35" t="n">
        <x:v>20</x:v>
      </x:c>
      <x:c r="S10" s="33" t="n">
        <x:f>(N10-P10)*R10/100</x:f>
        <x:v>16000</x:v>
      </x:c>
      <x:c r="T10" s="35" t="n">
        <x:v>0</x:v>
      </x:c>
      <x:c r="U10" s="33" t="n">
        <x:f>(N10-P10)*T10/100</x:f>
        <x:v>0</x:v>
      </x:c>
      <x:c r="V10" s="33" t="n">
        <x:f>N10-P10+S10</x:f>
        <x:v>96000</x:v>
      </x:c>
      <x:c r="W10" s="33" t="n">
        <x:f>V10*H10</x:f>
        <x:v>96000</x:v>
      </x:c>
      <x:c r="X10" s="30" t="str">
        <x:v>NET30</x:v>
      </x:c>
      <x:c r="Y10" s="32" t="n">
        <x:v>46206</x:v>
      </x:c>
      <x:c r="Z10" s="30" t="str">
        <x:v>Sent/Posted</x:v>
      </x:c>
      <x:c r="AA10" s="30" t="str"/>
      <x:c r="AB10" s="30" t="str">
        <x:v>Local taxable service invoice.</x:v>
      </x:c>
    </x:row>
    <x:row r="11">
      <x:c r="A11" s="30" t="str">
        <x:v>AR-PMT-001</x:v>
      </x:c>
      <x:c r="B11" s="32" t="n">
        <x:v>46183</x:v>
      </x:c>
      <x:c r="C11" s="30" t="str">
        <x:v>Accounts Receivable</x:v>
      </x:c>
      <x:c r="D11" s="30" t="str">
        <x:v>Customer Receipt</x:v>
      </x:c>
      <x:c r="E11" s="30" t="str">
        <x:v>CUST-GH-GOLDCOAST</x:v>
      </x:c>
      <x:c r="F11" s="30" t="str">
        <x:v>Golden Coast Homes Ltd</x:v>
      </x:c>
      <x:c r="G11" s="30" t="str">
        <x:v>GHS</x:v>
      </x:c>
      <x:c r="H11" s="30" t="n">
        <x:v>1</x:v>
      </x:c>
      <x:c r="I11" s="30" t="str">
        <x:v>100</x:v>
      </x:c>
      <x:c r="J11" s="30" t="str">
        <x:v>P101</x:v>
      </x:c>
      <x:c r="K11" s="30" t="str">
        <x:v>Partial receipt for AR-INV-001</x:v>
      </x:c>
      <x:c r="L11" s="30" t="n">
        <x:v>1</x:v>
      </x:c>
      <x:c r="M11" s="33" t="n">
        <x:v>50000</x:v>
      </x:c>
      <x:c r="N11" s="33" t="n">
        <x:f>L11*M11</x:f>
        <x:v>50000</x:v>
      </x:c>
      <x:c r="O11" s="34" t="n">
        <x:v>0</x:v>
      </x:c>
      <x:c r="P11" s="33" t="n">
        <x:f>N11*O11/100</x:f>
        <x:v>0</x:v>
      </x:c>
      <x:c r="Q11" s="33" t="str"/>
      <x:c r="R11" s="35" t="n">
        <x:v>0</x:v>
      </x:c>
      <x:c r="S11" s="33" t="n">
        <x:f>(N11-P11)*R11/100</x:f>
        <x:v>0</x:v>
      </x:c>
      <x:c r="T11" s="35" t="n">
        <x:v>0</x:v>
      </x:c>
      <x:c r="U11" s="33" t="n">
        <x:f>(N11-P11)*T11/100</x:f>
        <x:v>0</x:v>
      </x:c>
      <x:c r="V11" s="33" t="n">
        <x:f>N11-P11+S11</x:f>
        <x:v>50000</x:v>
      </x:c>
      <x:c r="W11" s="33" t="n">
        <x:f>V11*H11</x:f>
        <x:v>50000</x:v>
      </x:c>
      <x:c r="X11" s="30" t="str">
        <x:v>BankTransfer</x:v>
      </x:c>
      <x:c r="Y11" s="32"/>
      <x:c r="Z11" s="30" t="str">
        <x:v>Cleared/Allocated</x:v>
      </x:c>
      <x:c r="AA11" s="30" t="str">
        <x:v>AR-INV-001</x:v>
      </x:c>
      <x:c r="AB11" s="30" t="str">
        <x:v>Partial allocation should leave invoice balance open.</x:v>
      </x:c>
    </x:row>
    <x:row r="12">
      <x:c r="A12" s="30" t="str">
        <x:v>AR-CN-001</x:v>
      </x:c>
      <x:c r="B12" s="32" t="n">
        <x:v>46185</x:v>
      </x:c>
      <x:c r="C12" s="30" t="str">
        <x:v>Accounts Receivable</x:v>
      </x:c>
      <x:c r="D12" s="30" t="str">
        <x:v>Credit Note</x:v>
      </x:c>
      <x:c r="E12" s="30" t="str">
        <x:v>CUST-GH-GOLDCOAST</x:v>
      </x:c>
      <x:c r="F12" s="30" t="str">
        <x:v>Golden Coast Homes Ltd</x:v>
      </x:c>
      <x:c r="G12" s="30" t="str">
        <x:v>GHS</x:v>
      </x:c>
      <x:c r="H12" s="30" t="n">
        <x:v>1</x:v>
      </x:c>
      <x:c r="I12" s="30" t="str">
        <x:v>100</x:v>
      </x:c>
      <x:c r="J12" s="30" t="str">
        <x:v>P101</x:v>
      </x:c>
      <x:c r="K12" s="30" t="str">
        <x:v>Service quality credit against AR-INV-001</x:v>
      </x:c>
      <x:c r="L12" s="30" t="n">
        <x:v>1</x:v>
      </x:c>
      <x:c r="M12" s="33" t="n">
        <x:v>5000</x:v>
      </x:c>
      <x:c r="N12" s="33" t="n">
        <x:f>L12*M12</x:f>
        <x:v>5000</x:v>
      </x:c>
      <x:c r="O12" s="34" t="n">
        <x:v>0</x:v>
      </x:c>
      <x:c r="P12" s="33" t="n">
        <x:f>N12*O12/100</x:f>
        <x:v>0</x:v>
      </x:c>
      <x:c r="Q12" s="33" t="str">
        <x:v>VAT-STD-SCHEME</x:v>
      </x:c>
      <x:c r="R12" s="35" t="n">
        <x:v>20</x:v>
      </x:c>
      <x:c r="S12" s="33" t="n">
        <x:f>(N12-P12)*R12/100</x:f>
        <x:v>1000</x:v>
      </x:c>
      <x:c r="T12" s="35" t="n">
        <x:v>0</x:v>
      </x:c>
      <x:c r="U12" s="33" t="n">
        <x:f>(N12-P12)*T12/100</x:f>
        <x:v>0</x:v>
      </x:c>
      <x:c r="V12" s="33" t="n">
        <x:f>N12-P12+S12</x:f>
        <x:v>6000</x:v>
      </x:c>
      <x:c r="W12" s="33" t="n">
        <x:f>V12*H12</x:f>
        <x:v>6000</x:v>
      </x:c>
      <x:c r="X12" s="30" t="str"/>
      <x:c r="Y12" s="32"/>
      <x:c r="Z12" s="30" t="str">
        <x:v>Posted</x:v>
      </x:c>
      <x:c r="AA12" s="30" t="str">
        <x:v>AR-INV-001</x:v>
      </x:c>
      <x:c r="AB12" s="30" t="str">
        <x:v>Credit note should reduce revenue, VAT and AR balance.</x:v>
      </x:c>
    </x:row>
    <x:row r="13">
      <x:c r="A13" s="30" t="str">
        <x:v>AR-PMT-002</x:v>
      </x:c>
      <x:c r="B13" s="32" t="n">
        <x:v>46188</x:v>
      </x:c>
      <x:c r="C13" s="30" t="str">
        <x:v>Accounts Receivable</x:v>
      </x:c>
      <x:c r="D13" s="30" t="str">
        <x:v>Customer Receipt with WHT</x:v>
      </x:c>
      <x:c r="E13" s="30" t="str">
        <x:v>CUST-GH-GOLDCOAST</x:v>
      </x:c>
      <x:c r="F13" s="30" t="str">
        <x:v>Golden Coast Homes Ltd</x:v>
      </x:c>
      <x:c r="G13" s="30" t="str">
        <x:v>GHS</x:v>
      </x:c>
      <x:c r="H13" s="30" t="n">
        <x:v>1</x:v>
      </x:c>
      <x:c r="I13" s="30" t="str">
        <x:v>100</x:v>
      </x:c>
      <x:c r="J13" s="30" t="str">
        <x:v>P101</x:v>
      </x:c>
      <x:c r="K13" s="30" t="str">
        <x:v>Final receipt with customer WHT certificate</x:v>
      </x:c>
      <x:c r="L13" s="30" t="n">
        <x:v>1</x:v>
      </x:c>
      <x:c r="M13" s="33" t="n">
        <x:v>40000</x:v>
      </x:c>
      <x:c r="N13" s="33" t="n">
        <x:f>L13*M13</x:f>
        <x:v>40000</x:v>
      </x:c>
      <x:c r="O13" s="34" t="n">
        <x:v>0</x:v>
      </x:c>
      <x:c r="P13" s="33" t="n">
        <x:f>N13*O13/100</x:f>
        <x:v>0</x:v>
      </x:c>
      <x:c r="Q13" s="33" t="str"/>
      <x:c r="R13" s="35" t="n">
        <x:v>0</x:v>
      </x:c>
      <x:c r="S13" s="33" t="n">
        <x:f>(N13-P13)*R13/100</x:f>
        <x:v>0</x:v>
      </x:c>
      <x:c r="T13" s="35" t="n">
        <x:v>15</x:v>
      </x:c>
      <x:c r="U13" s="33" t="n">
        <x:f>(N13-P13)*T13/100</x:f>
        <x:v>6000</x:v>
      </x:c>
      <x:c r="V13" s="33" t="n">
        <x:f>N13-P13+S13</x:f>
        <x:v>40000</x:v>
      </x:c>
      <x:c r="W13" s="33" t="n">
        <x:f>V13*H13</x:f>
        <x:v>40000</x:v>
      </x:c>
      <x:c r="X13" s="30" t="str">
        <x:v>BankTransfer</x:v>
      </x:c>
      <x:c r="Y13" s="32"/>
      <x:c r="Z13" s="30" t="str">
        <x:v>Cleared/Allocated</x:v>
      </x:c>
      <x:c r="AA13" s="30" t="str">
        <x:v>AR-INV-001</x:v>
      </x:c>
      <x:c r="AB13" s="30" t="str">
        <x:v>Cash received is net of withholding; certificate should be captured.</x:v>
      </x:c>
    </x:row>
    <x:row r="14">
      <x:c r="A14" s="30" t="str">
        <x:v>AR-INV-002</x:v>
      </x:c>
      <x:c r="B14" s="32" t="n">
        <x:v>46178</x:v>
      </x:c>
      <x:c r="C14" s="30" t="str">
        <x:v>Accounts Receivable</x:v>
      </x:c>
      <x:c r="D14" s="30" t="str">
        <x:v>Customer Invoice</x:v>
      </x:c>
      <x:c r="E14" s="30" t="str">
        <x:v>CUS260001</x:v>
      </x:c>
      <x:c r="F14" s="30" t="str">
        <x:v>USD Customer</x:v>
      </x:c>
      <x:c r="G14" s="30" t="str">
        <x:v>USD</x:v>
      </x:c>
      <x:c r="H14" s="30" t="n">
        <x:v>12.5</x:v>
      </x:c>
      <x:c r="I14" s="30" t="str">
        <x:v>100</x:v>
      </x:c>
      <x:c r="J14" s="30" t="str">
        <x:v>0000</x:v>
      </x:c>
      <x:c r="K14" s="30" t="str">
        <x:v>USD consulting invoice</x:v>
      </x:c>
      <x:c r="L14" s="30" t="n">
        <x:v>1</x:v>
      </x:c>
      <x:c r="M14" s="33" t="n">
        <x:v>4000</x:v>
      </x:c>
      <x:c r="N14" s="33" t="n">
        <x:f>L14*M14</x:f>
        <x:v>4000</x:v>
      </x:c>
      <x:c r="O14" s="34" t="n">
        <x:v>0</x:v>
      </x:c>
      <x:c r="P14" s="33" t="n">
        <x:f>N14*O14/100</x:f>
        <x:v>0</x:v>
      </x:c>
      <x:c r="Q14" s="33" t="str"/>
      <x:c r="R14" s="35" t="n">
        <x:v>0</x:v>
      </x:c>
      <x:c r="S14" s="33" t="n">
        <x:f>(N14-P14)*R14/100</x:f>
        <x:v>0</x:v>
      </x:c>
      <x:c r="T14" s="35" t="n">
        <x:v>0</x:v>
      </x:c>
      <x:c r="U14" s="33" t="n">
        <x:f>(N14-P14)*T14/100</x:f>
        <x:v>0</x:v>
      </x:c>
      <x:c r="V14" s="33" t="n">
        <x:f>N14-P14+S14</x:f>
        <x:v>4000</x:v>
      </x:c>
      <x:c r="W14" s="33" t="n">
        <x:f>V14*H14</x:f>
        <x:v>50000</x:v>
      </x:c>
      <x:c r="X14" s="30" t="str">
        <x:v>NET15</x:v>
      </x:c>
      <x:c r="Y14" s="32" t="n">
        <x:v>46193</x:v>
      </x:c>
      <x:c r="Z14" s="30" t="str">
        <x:v>Sent/Posted</x:v>
      </x:c>
      <x:c r="AA14" s="30" t="str"/>
      <x:c r="AB14" s="30" t="str">
        <x:v>Foreign-currency AR at invoice rate.</x:v>
      </x:c>
    </x:row>
    <x:row r="15">
      <x:c r="A15" s="30" t="str">
        <x:v>AR-PMT-USD-001</x:v>
      </x:c>
      <x:c r="B15" s="32" t="n">
        <x:v>46193</x:v>
      </x:c>
      <x:c r="C15" s="30" t="str">
        <x:v>Accounts Receivable</x:v>
      </x:c>
      <x:c r="D15" s="30" t="str">
        <x:v>Customer Receipt</x:v>
      </x:c>
      <x:c r="E15" s="30" t="str">
        <x:v>CUS260001</x:v>
      </x:c>
      <x:c r="F15" s="30" t="str">
        <x:v>USD Customer</x:v>
      </x:c>
      <x:c r="G15" s="30" t="str">
        <x:v>USD</x:v>
      </x:c>
      <x:c r="H15" s="30" t="n">
        <x:v>13</x:v>
      </x:c>
      <x:c r="I15" s="30" t="str">
        <x:v>100</x:v>
      </x:c>
      <x:c r="J15" s="30" t="str">
        <x:v>0000</x:v>
      </x:c>
      <x:c r="K15" s="30" t="str">
        <x:v>USD receipt at settlement rate</x:v>
      </x:c>
      <x:c r="L15" s="30" t="n">
        <x:v>1</x:v>
      </x:c>
      <x:c r="M15" s="33" t="n">
        <x:v>4000</x:v>
      </x:c>
      <x:c r="N15" s="33" t="n">
        <x:f>L15*M15</x:f>
        <x:v>4000</x:v>
      </x:c>
      <x:c r="O15" s="34" t="n">
        <x:v>0</x:v>
      </x:c>
      <x:c r="P15" s="33" t="n">
        <x:f>N15*O15/100</x:f>
        <x:v>0</x:v>
      </x:c>
      <x:c r="Q15" s="33" t="str"/>
      <x:c r="R15" s="35" t="n">
        <x:v>0</x:v>
      </x:c>
      <x:c r="S15" s="33" t="n">
        <x:f>(N15-P15)*R15/100</x:f>
        <x:v>0</x:v>
      </x:c>
      <x:c r="T15" s="35" t="n">
        <x:v>0</x:v>
      </x:c>
      <x:c r="U15" s="33" t="n">
        <x:f>(N15-P15)*T15/100</x:f>
        <x:v>0</x:v>
      </x:c>
      <x:c r="V15" s="33" t="n">
        <x:f>N15-P15+S15</x:f>
        <x:v>4000</x:v>
      </x:c>
      <x:c r="W15" s="33" t="n">
        <x:f>V15*H15</x:f>
        <x:v>52000</x:v>
      </x:c>
      <x:c r="X15" s="30" t="str">
        <x:v>BankTransfer</x:v>
      </x:c>
      <x:c r="Y15" s="32"/>
      <x:c r="Z15" s="30" t="str">
        <x:v>Cleared/Allocated</x:v>
      </x:c>
      <x:c r="AA15" s="30" t="str">
        <x:v>AR-INV-002</x:v>
      </x:c>
      <x:c r="AB15" s="30" t="str">
        <x:v>Should recognize realized FX gain on settlement.</x:v>
      </x:c>
    </x:row>
    <x:row r="16">
      <x:c r="A16" s="30" t="str">
        <x:v>AP-INV-001</x:v>
      </x:c>
      <x:c r="B16" s="32" t="n">
        <x:v>46177</x:v>
      </x:c>
      <x:c r="C16" s="30" t="str">
        <x:v>Accounts Payable</x:v>
      </x:c>
      <x:c r="D16" s="30" t="str">
        <x:v>Vendor Invoice</x:v>
      </x:c>
      <x:c r="E16" s="30" t="str">
        <x:v>SUP260001</x:v>
      </x:c>
      <x:c r="F16" s="30" t="str">
        <x:v>USD Supplier</x:v>
      </x:c>
      <x:c r="G16" s="30" t="str">
        <x:v>USD</x:v>
      </x:c>
      <x:c r="H16" s="30" t="n">
        <x:v>12.5</x:v>
      </x:c>
      <x:c r="I16" s="30" t="str">
        <x:v>100</x:v>
      </x:c>
      <x:c r="J16" s="30" t="str">
        <x:v>0000</x:v>
      </x:c>
      <x:c r="K16" s="30" t="str">
        <x:v>USD professional services</x:v>
      </x:c>
      <x:c r="L16" s="30" t="n">
        <x:v>1</x:v>
      </x:c>
      <x:c r="M16" s="33" t="n">
        <x:v>3000</x:v>
      </x:c>
      <x:c r="N16" s="33" t="n">
        <x:f>L16*M16</x:f>
        <x:v>3000</x:v>
      </x:c>
      <x:c r="O16" s="34" t="n">
        <x:v>0</x:v>
      </x:c>
      <x:c r="P16" s="33" t="n">
        <x:f>N16*O16/100</x:f>
        <x:v>0</x:v>
      </x:c>
      <x:c r="Q16" s="33" t="str">
        <x:v>WHT-SERVICES</x:v>
      </x:c>
      <x:c r="R16" s="35" t="n">
        <x:v>0</x:v>
      </x:c>
      <x:c r="S16" s="33" t="n">
        <x:f>(N16-P16)*R16/100</x:f>
        <x:v>0</x:v>
      </x:c>
      <x:c r="T16" s="35" t="n">
        <x:v>7.5</x:v>
      </x:c>
      <x:c r="U16" s="33" t="n">
        <x:f>(N16-P16)*T16/100</x:f>
        <x:v>225</x:v>
      </x:c>
      <x:c r="V16" s="33" t="n">
        <x:f>N16-P16+S16</x:f>
        <x:v>3000</x:v>
      </x:c>
      <x:c r="W16" s="33" t="n">
        <x:f>V16*H16</x:f>
        <x:v>37500</x:v>
      </x:c>
      <x:c r="X16" s="30" t="str">
        <x:v>NET30</x:v>
      </x:c>
      <x:c r="Y16" s="32" t="n">
        <x:v>46207</x:v>
      </x:c>
      <x:c r="Z16" s="30" t="str">
        <x:v>Approved/Posted</x:v>
      </x:c>
      <x:c r="AA16" s="30" t="str"/>
      <x:c r="AB16" s="30" t="str">
        <x:v>Service WHT should reduce AP and credit tax control.</x:v>
      </x:c>
    </x:row>
    <x:row r="17">
      <x:c r="A17" s="30" t="str">
        <x:v>AP-PMT-001</x:v>
      </x:c>
      <x:c r="B17" s="32" t="n">
        <x:v>46191</x:v>
      </x:c>
      <x:c r="C17" s="30" t="str">
        <x:v>Accounts Payable</x:v>
      </x:c>
      <x:c r="D17" s="30" t="str">
        <x:v>Vendor Payment</x:v>
      </x:c>
      <x:c r="E17" s="30" t="str">
        <x:v>SUP260001</x:v>
      </x:c>
      <x:c r="F17" s="30" t="str">
        <x:v>USD Supplier</x:v>
      </x:c>
      <x:c r="G17" s="30" t="str">
        <x:v>USD</x:v>
      </x:c>
      <x:c r="H17" s="30" t="n">
        <x:v>13</x:v>
      </x:c>
      <x:c r="I17" s="30" t="str">
        <x:v>100</x:v>
      </x:c>
      <x:c r="J17" s="30" t="str">
        <x:v>0000</x:v>
      </x:c>
      <x:c r="K17" s="30" t="str">
        <x:v>Payment of AP-INV-001 at settlement rate</x:v>
      </x:c>
      <x:c r="L17" s="30" t="n">
        <x:v>1</x:v>
      </x:c>
      <x:c r="M17" s="33" t="n">
        <x:v>2775</x:v>
      </x:c>
      <x:c r="N17" s="33" t="n">
        <x:f>L17*M17</x:f>
        <x:v>2775</x:v>
      </x:c>
      <x:c r="O17" s="34" t="n">
        <x:v>0</x:v>
      </x:c>
      <x:c r="P17" s="33" t="n">
        <x:f>N17*O17/100</x:f>
        <x:v>0</x:v>
      </x:c>
      <x:c r="Q17" s="33" t="str"/>
      <x:c r="R17" s="35" t="n">
        <x:v>0</x:v>
      </x:c>
      <x:c r="S17" s="33" t="n">
        <x:f>(N17-P17)*R17/100</x:f>
        <x:v>0</x:v>
      </x:c>
      <x:c r="T17" s="35" t="n">
        <x:v>0</x:v>
      </x:c>
      <x:c r="U17" s="33" t="n">
        <x:f>(N17-P17)*T17/100</x:f>
        <x:v>0</x:v>
      </x:c>
      <x:c r="V17" s="33" t="n">
        <x:f>N17-P17+S17</x:f>
        <x:v>2775</x:v>
      </x:c>
      <x:c r="W17" s="33" t="n">
        <x:f>V17*H17</x:f>
        <x:v>36075</x:v>
      </x:c>
      <x:c r="X17" s="30" t="str">
        <x:v>BankTransfer</x:v>
      </x:c>
      <x:c r="Y17" s="32"/>
      <x:c r="Z17" s="30" t="str">
        <x:v>Processed/Cleared</x:v>
      </x:c>
      <x:c r="AA17" s="30" t="str">
        <x:v>AP-INV-001</x:v>
      </x:c>
      <x:c r="AB17" s="30" t="str">
        <x:v>Should recognize realized FX loss because settlement rate increased.</x:v>
      </x:c>
    </x:row>
    <x:row r="18">
      <x:c r="A18" s="30" t="str">
        <x:v>PO-GRV-001</x:v>
      </x:c>
      <x:c r="B18" s="32" t="n">
        <x:v>46179</x:v>
      </x:c>
      <x:c r="C18" s="30" t="str">
        <x:v>Finance Purchase Order</x:v>
      </x:c>
      <x:c r="D18" s="30" t="str">
        <x:v>Goods Receipt</x:v>
      </x:c>
      <x:c r="E18" s="30" t="str">
        <x:v>CONT-GH-ADOM-BUILD</x:v>
      </x:c>
      <x:c r="F18" s="30" t="str">
        <x:v>Adom Construction Ltd</x:v>
      </x:c>
      <x:c r="G18" s="30" t="str">
        <x:v>GHS</x:v>
      </x:c>
      <x:c r="H18" s="30" t="n">
        <x:v>1</x:v>
      </x:c>
      <x:c r="I18" s="30" t="str">
        <x:v>300</x:v>
      </x:c>
      <x:c r="J18" s="30" t="str">
        <x:v>P101</x:v>
      </x:c>
      <x:c r="K18" s="30" t="str">
        <x:v>Inventory spares received against PO</x:v>
      </x:c>
      <x:c r="L18" s="30" t="n">
        <x:v>100</x:v>
      </x:c>
      <x:c r="M18" s="33" t="n">
        <x:v>200</x:v>
      </x:c>
      <x:c r="N18" s="33" t="n">
        <x:f>L18*M18</x:f>
        <x:v>20000</x:v>
      </x:c>
      <x:c r="O18" s="34" t="n">
        <x:v>0</x:v>
      </x:c>
      <x:c r="P18" s="33" t="n">
        <x:f>N18*O18/100</x:f>
        <x:v>0</x:v>
      </x:c>
      <x:c r="Q18" s="33" t="str"/>
      <x:c r="R18" s="35" t="n">
        <x:v>0</x:v>
      </x:c>
      <x:c r="S18" s="33" t="n">
        <x:f>(N18-P18)*R18/100</x:f>
        <x:v>0</x:v>
      </x:c>
      <x:c r="T18" s="35" t="n">
        <x:v>0</x:v>
      </x:c>
      <x:c r="U18" s="33" t="n">
        <x:f>(N18-P18)*T18/100</x:f>
        <x:v>0</x:v>
      </x:c>
      <x:c r="V18" s="33" t="n">
        <x:f>N18-P18+S18</x:f>
        <x:v>20000</x:v>
      </x:c>
      <x:c r="W18" s="33" t="n">
        <x:f>V18*H18</x:f>
        <x:v>20000</x:v>
      </x:c>
      <x:c r="X18" s="30" t="str">
        <x:v>NET30</x:v>
      </x:c>
      <x:c r="Y18" s="32"/>
      <x:c r="Z18" s="30" t="str">
        <x:v>Received/Posted</x:v>
      </x:c>
      <x:c r="AA18" s="30" t="str"/>
      <x:c r="AB18" s="30" t="str">
        <x:v>GRV posts inventory debit and GRV accrual credit.</x:v>
      </x:c>
    </x:row>
    <x:row r="19">
      <x:c r="A19" s="30" t="str">
        <x:v>AP-INV-PO-001</x:v>
      </x:c>
      <x:c r="B19" s="32" t="n">
        <x:v>46180</x:v>
      </x:c>
      <x:c r="C19" s="30" t="str">
        <x:v>Accounts Payable</x:v>
      </x:c>
      <x:c r="D19" s="30" t="str">
        <x:v>Vendor Invoice from GRV</x:v>
      </x:c>
      <x:c r="E19" s="30" t="str">
        <x:v>CONT-GH-ADOM-BUILD</x:v>
      </x:c>
      <x:c r="F19" s="30" t="str">
        <x:v>Adom Construction Ltd</x:v>
      </x:c>
      <x:c r="G19" s="30" t="str">
        <x:v>GHS</x:v>
      </x:c>
      <x:c r="H19" s="30" t="n">
        <x:v>1</x:v>
      </x:c>
      <x:c r="I19" s="30" t="str">
        <x:v>300</x:v>
      </x:c>
      <x:c r="J19" s="30" t="str">
        <x:v>P101</x:v>
      </x:c>
      <x:c r="K19" s="30" t="str">
        <x:v>Supplier invoice matched to PO-GRV-001</x:v>
      </x:c>
      <x:c r="L19" s="30" t="n">
        <x:v>1</x:v>
      </x:c>
      <x:c r="M19" s="33" t="n">
        <x:v>20000</x:v>
      </x:c>
      <x:c r="N19" s="33" t="n">
        <x:f>L19*M19</x:f>
        <x:v>20000</x:v>
      </x:c>
      <x:c r="O19" s="34" t="n">
        <x:v>0</x:v>
      </x:c>
      <x:c r="P19" s="33" t="n">
        <x:f>N19*O19/100</x:f>
        <x:v>0</x:v>
      </x:c>
      <x:c r="Q19" s="33" t="str">
        <x:v>VAT-STD-SCHEME</x:v>
      </x:c>
      <x:c r="R19" s="35" t="n">
        <x:v>20</x:v>
      </x:c>
      <x:c r="S19" s="33" t="n">
        <x:f>(N19-P19)*R19/100</x:f>
        <x:v>4000</x:v>
      </x:c>
      <x:c r="T19" s="35" t="n">
        <x:v>0</x:v>
      </x:c>
      <x:c r="U19" s="33" t="n">
        <x:f>(N19-P19)*T19/100</x:f>
        <x:v>0</x:v>
      </x:c>
      <x:c r="V19" s="33" t="n">
        <x:f>N19-P19+S19</x:f>
        <x:v>24000</x:v>
      </x:c>
      <x:c r="W19" s="33" t="n">
        <x:f>V19*H19</x:f>
        <x:v>24000</x:v>
      </x:c>
      <x:c r="X19" s="30" t="str">
        <x:v>NET30</x:v>
      </x:c>
      <x:c r="Y19" s="32" t="n">
        <x:v>46210</x:v>
      </x:c>
      <x:c r="Z19" s="30" t="str">
        <x:v>Matched/Posted</x:v>
      </x:c>
      <x:c r="AA19" s="30" t="str">
        <x:v>PO-GRV-001</x:v>
      </x:c>
      <x:c r="AB19" s="30" t="str">
        <x:v>Should clear GRV accrual and create AP for gross invoice.</x:v>
      </x:c>
    </x:row>
    <x:row r="20">
      <x:c r="A20" s="30" t="str">
        <x:v>AP-PMT-PO-001</x:v>
      </x:c>
      <x:c r="B20" s="32" t="n">
        <x:v>46198</x:v>
      </x:c>
      <x:c r="C20" s="30" t="str">
        <x:v>Accounts Payable</x:v>
      </x:c>
      <x:c r="D20" s="30" t="str">
        <x:v>Vendor Payment</x:v>
      </x:c>
      <x:c r="E20" s="30" t="str">
        <x:v>CONT-GH-ADOM-BUILD</x:v>
      </x:c>
      <x:c r="F20" s="30" t="str">
        <x:v>Adom Construction Ltd</x:v>
      </x:c>
      <x:c r="G20" s="30" t="str">
        <x:v>GHS</x:v>
      </x:c>
      <x:c r="H20" s="30" t="n">
        <x:v>1</x:v>
      </x:c>
      <x:c r="I20" s="30" t="str">
        <x:v>300</x:v>
      </x:c>
      <x:c r="J20" s="30" t="str">
        <x:v>P101</x:v>
      </x:c>
      <x:c r="K20" s="30" t="str">
        <x:v>Payment for matched PO invoice</x:v>
      </x:c>
      <x:c r="L20" s="30" t="n">
        <x:v>1</x:v>
      </x:c>
      <x:c r="M20" s="33" t="n">
        <x:v>24000</x:v>
      </x:c>
      <x:c r="N20" s="33" t="n">
        <x:f>L20*M20</x:f>
        <x:v>24000</x:v>
      </x:c>
      <x:c r="O20" s="34" t="n">
        <x:v>0</x:v>
      </x:c>
      <x:c r="P20" s="33" t="n">
        <x:f>N20*O20/100</x:f>
        <x:v>0</x:v>
      </x:c>
      <x:c r="Q20" s="33" t="str"/>
      <x:c r="R20" s="35" t="n">
        <x:v>0</x:v>
      </x:c>
      <x:c r="S20" s="33" t="n">
        <x:f>(N20-P20)*R20/100</x:f>
        <x:v>0</x:v>
      </x:c>
      <x:c r="T20" s="35" t="n">
        <x:v>0</x:v>
      </x:c>
      <x:c r="U20" s="33" t="n">
        <x:f>(N20-P20)*T20/100</x:f>
        <x:v>0</x:v>
      </x:c>
      <x:c r="V20" s="33" t="n">
        <x:f>N20-P20+S20</x:f>
        <x:v>24000</x:v>
      </x:c>
      <x:c r="W20" s="33" t="n">
        <x:f>V20*H20</x:f>
        <x:v>24000</x:v>
      </x:c>
      <x:c r="X20" s="30" t="str">
        <x:v>BankTransfer</x:v>
      </x:c>
      <x:c r="Y20" s="32"/>
      <x:c r="Z20" s="30" t="str">
        <x:v>Processed/Cleared</x:v>
      </x:c>
      <x:c r="AA20" s="30" t="str">
        <x:v>AP-INV-PO-001</x:v>
      </x:c>
      <x:c r="AB20" s="30" t="str">
        <x:v>AP aging should remove matched invoice after allocation.</x:v>
      </x:c>
    </x:row>
    <x:row r="21">
      <x:c r="A21" s="30" t="str">
        <x:v>AP-INV-002</x:v>
      </x:c>
      <x:c r="B21" s="32" t="n">
        <x:v>46184</x:v>
      </x:c>
      <x:c r="C21" s="30" t="str">
        <x:v>Accounts Payable</x:v>
      </x:c>
      <x:c r="D21" s="30" t="str">
        <x:v>Vendor Invoice</x:v>
      </x:c>
      <x:c r="E21" s="30" t="str">
        <x:v>CONT-GH-ADOM-BUILD</x:v>
      </x:c>
      <x:c r="F21" s="30" t="str">
        <x:v>Adom Construction Ltd</x:v>
      </x:c>
      <x:c r="G21" s="30" t="str">
        <x:v>GHS</x:v>
      </x:c>
      <x:c r="H21" s="30" t="n">
        <x:v>1</x:v>
      </x:c>
      <x:c r="I21" s="30" t="str">
        <x:v>200</x:v>
      </x:c>
      <x:c r="J21" s="30" t="str">
        <x:v>0000</x:v>
      </x:c>
      <x:c r="K21" s="30" t="str">
        <x:v>Utilities expense invoice</x:v>
      </x:c>
      <x:c r="L21" s="30" t="n">
        <x:v>1</x:v>
      </x:c>
      <x:c r="M21" s="33" t="n">
        <x:v>12000</x:v>
      </x:c>
      <x:c r="N21" s="33" t="n">
        <x:f>L21*M21</x:f>
        <x:v>12000</x:v>
      </x:c>
      <x:c r="O21" s="34" t="n">
        <x:v>0</x:v>
      </x:c>
      <x:c r="P21" s="33" t="n">
        <x:f>N21*O21/100</x:f>
        <x:v>0</x:v>
      </x:c>
      <x:c r="Q21" s="33" t="str">
        <x:v>VAT-STD-SCHEME</x:v>
      </x:c>
      <x:c r="R21" s="35" t="n">
        <x:v>20</x:v>
      </x:c>
      <x:c r="S21" s="33" t="n">
        <x:f>(N21-P21)*R21/100</x:f>
        <x:v>2400</x:v>
      </x:c>
      <x:c r="T21" s="35" t="n">
        <x:v>0</x:v>
      </x:c>
      <x:c r="U21" s="33" t="n">
        <x:f>(N21-P21)*T21/100</x:f>
        <x:v>0</x:v>
      </x:c>
      <x:c r="V21" s="33" t="n">
        <x:f>N21-P21+S21</x:f>
        <x:v>14400</x:v>
      </x:c>
      <x:c r="W21" s="33" t="n">
        <x:f>V21*H21</x:f>
        <x:v>14400</x:v>
      </x:c>
      <x:c r="X21" s="30" t="str">
        <x:v>NET30</x:v>
      </x:c>
      <x:c r="Y21" s="32" t="n">
        <x:v>46214</x:v>
      </x:c>
      <x:c r="Z21" s="30" t="str">
        <x:v>Approved/Posted</x:v>
      </x:c>
      <x:c r="AA21" s="30" t="str"/>
      <x:c r="AB21" s="30" t="str">
        <x:v>Input VAT should debit tax control.</x:v>
      </x:c>
    </x:row>
    <x:row r="22">
      <x:c r="A22" s="30" t="str">
        <x:v>AP-INV-003</x:v>
      </x:c>
      <x:c r="B22" s="32" t="n">
        <x:v>46186</x:v>
      </x:c>
      <x:c r="C22" s="30" t="str">
        <x:v>Accounts Payable</x:v>
      </x:c>
      <x:c r="D22" s="30" t="str">
        <x:v>Vendor Invoice</x:v>
      </x:c>
      <x:c r="E22" s="30" t="str">
        <x:v>CONT-GH-ADOM-BUILD</x:v>
      </x:c>
      <x:c r="F22" s="30" t="str">
        <x:v>Adom Construction Ltd</x:v>
      </x:c>
      <x:c r="G22" s="30" t="str">
        <x:v>GHS</x:v>
      </x:c>
      <x:c r="H22" s="30" t="n">
        <x:v>1</x:v>
      </x:c>
      <x:c r="I22" s="30" t="str">
        <x:v>100</x:v>
      </x:c>
      <x:c r="J22" s="30" t="str">
        <x:v>0000</x:v>
      </x:c>
      <x:c r="K22" s="30" t="str">
        <x:v>Professional advisory invoice with 2/10 Net30</x:v>
      </x:c>
      <x:c r="L22" s="30" t="n">
        <x:v>1</x:v>
      </x:c>
      <x:c r="M22" s="33" t="n">
        <x:v>25000</x:v>
      </x:c>
      <x:c r="N22" s="33" t="n">
        <x:f>L22*M22</x:f>
        <x:v>25000</x:v>
      </x:c>
      <x:c r="O22" s="34" t="n">
        <x:v>0</x:v>
      </x:c>
      <x:c r="P22" s="33" t="n">
        <x:f>N22*O22/100</x:f>
        <x:v>0</x:v>
      </x:c>
      <x:c r="Q22" s="33" t="str">
        <x:v>WHT-SERVICES</x:v>
      </x:c>
      <x:c r="R22" s="35" t="n">
        <x:v>0</x:v>
      </x:c>
      <x:c r="S22" s="33" t="n">
        <x:f>(N22-P22)*R22/100</x:f>
        <x:v>0</x:v>
      </x:c>
      <x:c r="T22" s="35" t="n">
        <x:v>7.5</x:v>
      </x:c>
      <x:c r="U22" s="33" t="n">
        <x:f>(N22-P22)*T22/100</x:f>
        <x:v>1875</x:v>
      </x:c>
      <x:c r="V22" s="33" t="n">
        <x:f>N22-P22+S22</x:f>
        <x:v>25000</x:v>
      </x:c>
      <x:c r="W22" s="33" t="n">
        <x:f>V22*H22</x:f>
        <x:v>25000</x:v>
      </x:c>
      <x:c r="X22" s="30" t="str">
        <x:v>2_10_NET30</x:v>
      </x:c>
      <x:c r="Y22" s="32" t="n">
        <x:v>46216</x:v>
      </x:c>
      <x:c r="Z22" s="30" t="str">
        <x:v>Approved/Posted</x:v>
      </x:c>
      <x:c r="AA22" s="30" t="str"/>
      <x:c r="AB22" s="30" t="str">
        <x:v>Discount eligibility should be calculated separately from WHT.</x:v>
      </x:c>
    </x:row>
    <x:row r="23">
      <x:c r="A23" s="30" t="str">
        <x:v>AP-PMT-003</x:v>
      </x:c>
      <x:c r="B23" s="32" t="n">
        <x:v>46193</x:v>
      </x:c>
      <x:c r="C23" s="30" t="str">
        <x:v>Accounts Payable</x:v>
      </x:c>
      <x:c r="D23" s="30" t="str">
        <x:v>Vendor Payment with Discount</x:v>
      </x:c>
      <x:c r="E23" s="30" t="str">
        <x:v>CONT-GH-ADOM-BUILD</x:v>
      </x:c>
      <x:c r="F23" s="30" t="str">
        <x:v>Adom Construction Ltd</x:v>
      </x:c>
      <x:c r="G23" s="30" t="str">
        <x:v>GHS</x:v>
      </x:c>
      <x:c r="H23" s="30" t="n">
        <x:v>1</x:v>
      </x:c>
      <x:c r="I23" s="30" t="str">
        <x:v>100</x:v>
      </x:c>
      <x:c r="J23" s="30" t="str">
        <x:v>0000</x:v>
      </x:c>
      <x:c r="K23" s="30" t="str">
        <x:v>Early settlement for AP-INV-003</x:v>
      </x:c>
      <x:c r="L23" s="30" t="n">
        <x:v>1</x:v>
      </x:c>
      <x:c r="M23" s="33" t="n">
        <x:v>22625</x:v>
      </x:c>
      <x:c r="N23" s="33" t="n">
        <x:f>L23*M23</x:f>
        <x:v>22625</x:v>
      </x:c>
      <x:c r="O23" s="34" t="n">
        <x:v>0</x:v>
      </x:c>
      <x:c r="P23" s="33" t="n">
        <x:f>N23*O23/100</x:f>
        <x:v>0</x:v>
      </x:c>
      <x:c r="Q23" s="33" t="str"/>
      <x:c r="R23" s="35" t="n">
        <x:v>0</x:v>
      </x:c>
      <x:c r="S23" s="33" t="n">
        <x:f>(N23-P23)*R23/100</x:f>
        <x:v>0</x:v>
      </x:c>
      <x:c r="T23" s="35" t="n">
        <x:v>0</x:v>
      </x:c>
      <x:c r="U23" s="33" t="n">
        <x:f>(N23-P23)*T23/100</x:f>
        <x:v>0</x:v>
      </x:c>
      <x:c r="V23" s="33" t="n">
        <x:f>N23-P23+S23</x:f>
        <x:v>22625</x:v>
      </x:c>
      <x:c r="W23" s="33" t="n">
        <x:f>V23*H23</x:f>
        <x:v>22625</x:v>
      </x:c>
      <x:c r="X23" s="30" t="str">
        <x:v>BankTransfer</x:v>
      </x:c>
      <x:c r="Y23" s="32"/>
      <x:c r="Z23" s="30" t="str">
        <x:v>Processed/Cleared</x:v>
      </x:c>
      <x:c r="AA23" s="30" t="str">
        <x:v>AP-INV-003</x:v>
      </x:c>
      <x:c r="AB23" s="30" t="str">
        <x:v>2% discount should credit purchase discounts received.</x:v>
      </x:c>
    </x:row>
    <x:row r="24">
      <x:c r="A24" s="30" t="str">
        <x:v>BANK-TRF-001</x:v>
      </x:c>
      <x:c r="B24" s="32" t="n">
        <x:v>46194</x:v>
      </x:c>
      <x:c r="C24" s="30" t="str">
        <x:v>Cash Management</x:v>
      </x:c>
      <x:c r="D24" s="30" t="str">
        <x:v>Bank Transfer</x:v>
      </x:c>
      <x:c r="E24" s="30" t="str"/>
      <x:c r="F24" s="30" t="str"/>
      <x:c r="G24" s="30" t="str">
        <x:v>GHS</x:v>
      </x:c>
      <x:c r="H24" s="30" t="n">
        <x:v>1</x:v>
      </x:c>
      <x:c r="I24" s="30" t="str">
        <x:v>100</x:v>
      </x:c>
      <x:c r="J24" s="30" t="str">
        <x:v>0000</x:v>
      </x:c>
      <x:c r="K24" s="30" t="str">
        <x:v>Transfer to payroll clearing bank</x:v>
      </x:c>
      <x:c r="L24" s="30" t="n">
        <x:v>1</x:v>
      </x:c>
      <x:c r="M24" s="33" t="n">
        <x:v>20000</x:v>
      </x:c>
      <x:c r="N24" s="33" t="n">
        <x:f>L24*M24</x:f>
        <x:v>20000</x:v>
      </x:c>
      <x:c r="O24" s="34" t="n">
        <x:v>0</x:v>
      </x:c>
      <x:c r="P24" s="33" t="n">
        <x:f>N24*O24/100</x:f>
        <x:v>0</x:v>
      </x:c>
      <x:c r="Q24" s="33" t="str"/>
      <x:c r="R24" s="35" t="n">
        <x:v>0</x:v>
      </x:c>
      <x:c r="S24" s="33" t="n">
        <x:f>(N24-P24)*R24/100</x:f>
        <x:v>0</x:v>
      </x:c>
      <x:c r="T24" s="35" t="n">
        <x:v>0</x:v>
      </x:c>
      <x:c r="U24" s="33" t="n">
        <x:f>(N24-P24)*T24/100</x:f>
        <x:v>0</x:v>
      </x:c>
      <x:c r="V24" s="33" t="n">
        <x:f>N24-P24+S24</x:f>
        <x:v>20000</x:v>
      </x:c>
      <x:c r="W24" s="33" t="n">
        <x:f>V24*H24</x:f>
        <x:v>20000</x:v>
      </x:c>
      <x:c r="X24" s="30" t="str"/>
      <x:c r="Y24" s="32"/>
      <x:c r="Z24" s="30" t="str">
        <x:v>Posted</x:v>
      </x:c>
      <x:c r="AA24" s="30" t="str"/>
      <x:c r="AB24" s="30" t="str">
        <x:v>Cash/bank ledger should show equal and opposite movement.</x:v>
      </x:c>
    </x:row>
    <x:row r="25">
      <x:c r="A25" s="30" t="str">
        <x:v>BANK-REC-001</x:v>
      </x:c>
      <x:c r="B25" s="32" t="n">
        <x:v>46195</x:v>
      </x:c>
      <x:c r="C25" s="30" t="str">
        <x:v>Cash Management</x:v>
      </x:c>
      <x:c r="D25" s="30" t="str">
        <x:v>Bank Reconciliation Adjustment</x:v>
      </x:c>
      <x:c r="E25" s="30" t="str"/>
      <x:c r="F25" s="30" t="str"/>
      <x:c r="G25" s="30" t="str">
        <x:v>GHS</x:v>
      </x:c>
      <x:c r="H25" s="30" t="n">
        <x:v>1</x:v>
      </x:c>
      <x:c r="I25" s="30" t="str">
        <x:v>100</x:v>
      </x:c>
      <x:c r="J25" s="30" t="str">
        <x:v>0000</x:v>
      </x:c>
      <x:c r="K25" s="30" t="str">
        <x:v>Bank service charge from statement</x:v>
      </x:c>
      <x:c r="L25" s="30" t="n">
        <x:v>1</x:v>
      </x:c>
      <x:c r="M25" s="33" t="n">
        <x:v>750</x:v>
      </x:c>
      <x:c r="N25" s="33" t="n">
        <x:f>L25*M25</x:f>
        <x:v>750</x:v>
      </x:c>
      <x:c r="O25" s="34" t="n">
        <x:v>0</x:v>
      </x:c>
      <x:c r="P25" s="33" t="n">
        <x:f>N25*O25/100</x:f>
        <x:v>0</x:v>
      </x:c>
      <x:c r="Q25" s="33" t="str"/>
      <x:c r="R25" s="35" t="n">
        <x:v>0</x:v>
      </x:c>
      <x:c r="S25" s="33" t="n">
        <x:f>(N25-P25)*R25/100</x:f>
        <x:v>0</x:v>
      </x:c>
      <x:c r="T25" s="35" t="n">
        <x:v>0</x:v>
      </x:c>
      <x:c r="U25" s="33" t="n">
        <x:f>(N25-P25)*T25/100</x:f>
        <x:v>0</x:v>
      </x:c>
      <x:c r="V25" s="33" t="n">
        <x:f>N25-P25+S25</x:f>
        <x:v>750</x:v>
      </x:c>
      <x:c r="W25" s="33" t="n">
        <x:f>V25*H25</x:f>
        <x:v>750</x:v>
      </x:c>
      <x:c r="X25" s="30" t="str"/>
      <x:c r="Y25" s="32"/>
      <x:c r="Z25" s="30" t="str">
        <x:v>Posted</x:v>
      </x:c>
      <x:c r="AA25" s="30" t="str"/>
      <x:c r="AB25" s="30" t="str">
        <x:v>Bank reconciliation adjustment should create journal entry and audit trail.</x:v>
      </x:c>
    </x:row>
    <x:row r="26">
      <x:c r="A26" s="30" t="str">
        <x:v>BANK-REC-002</x:v>
      </x:c>
      <x:c r="B26" s="32" t="n">
        <x:v>46195</x:v>
      </x:c>
      <x:c r="C26" s="30" t="str">
        <x:v>Cash Management</x:v>
      </x:c>
      <x:c r="D26" s="30" t="str">
        <x:v>Bank Reconciliation Adjustment</x:v>
      </x:c>
      <x:c r="E26" s="30" t="str"/>
      <x:c r="F26" s="30" t="str"/>
      <x:c r="G26" s="30" t="str">
        <x:v>GHS</x:v>
      </x:c>
      <x:c r="H26" s="30" t="n">
        <x:v>1</x:v>
      </x:c>
      <x:c r="I26" s="30" t="str">
        <x:v>100</x:v>
      </x:c>
      <x:c r="J26" s="30" t="str">
        <x:v>0000</x:v>
      </x:c>
      <x:c r="K26" s="30" t="str">
        <x:v>Bank interest earned</x:v>
      </x:c>
      <x:c r="L26" s="30" t="n">
        <x:v>1</x:v>
      </x:c>
      <x:c r="M26" s="33" t="n">
        <x:v>500</x:v>
      </x:c>
      <x:c r="N26" s="33" t="n">
        <x:f>L26*M26</x:f>
        <x:v>500</x:v>
      </x:c>
      <x:c r="O26" s="34" t="n">
        <x:v>0</x:v>
      </x:c>
      <x:c r="P26" s="33" t="n">
        <x:f>N26*O26/100</x:f>
        <x:v>0</x:v>
      </x:c>
      <x:c r="Q26" s="33" t="str"/>
      <x:c r="R26" s="35" t="n">
        <x:v>0</x:v>
      </x:c>
      <x:c r="S26" s="33" t="n">
        <x:f>(N26-P26)*R26/100</x:f>
        <x:v>0</x:v>
      </x:c>
      <x:c r="T26" s="35" t="n">
        <x:v>0</x:v>
      </x:c>
      <x:c r="U26" s="33" t="n">
        <x:f>(N26-P26)*T26/100</x:f>
        <x:v>0</x:v>
      </x:c>
      <x:c r="V26" s="33" t="n">
        <x:f>N26-P26+S26</x:f>
        <x:v>500</x:v>
      </x:c>
      <x:c r="W26" s="33" t="n">
        <x:f>V26*H26</x:f>
        <x:v>500</x:v>
      </x:c>
      <x:c r="X26" s="30" t="str"/>
      <x:c r="Y26" s="32"/>
      <x:c r="Z26" s="30" t="str">
        <x:v>Posted</x:v>
      </x:c>
      <x:c r="AA26" s="30" t="str"/>
      <x:c r="AB26" s="30" t="str">
        <x:v>Interest income should appear in cash flow and income statement.</x:v>
      </x:c>
    </x:row>
    <x:row r="27">
      <x:c r="A27" s="30" t="str">
        <x:v>FA-ADD-001</x:v>
      </x:c>
      <x:c r="B27" s="32" t="n">
        <x:v>46181</x:v>
      </x:c>
      <x:c r="C27" s="30" t="str">
        <x:v>Fixed Assets</x:v>
      </x:c>
      <x:c r="D27" s="30" t="str">
        <x:v>AP Capital Asset Invoice</x:v>
      </x:c>
      <x:c r="E27" s="30" t="str">
        <x:v>SUP260001</x:v>
      </x:c>
      <x:c r="F27" s="30" t="str">
        <x:v>USD Supplier</x:v>
      </x:c>
      <x:c r="G27" s="30" t="str">
        <x:v>GHS</x:v>
      </x:c>
      <x:c r="H27" s="30" t="n">
        <x:v>1</x:v>
      </x:c>
      <x:c r="I27" s="30" t="str">
        <x:v>300</x:v>
      </x:c>
      <x:c r="J27" s="30" t="str">
        <x:v>P101</x:v>
      </x:c>
      <x:c r="K27" s="30" t="str">
        <x:v>Network security appliance plus installation</x:v>
      </x:c>
      <x:c r="L27" s="30" t="n">
        <x:v>1</x:v>
      </x:c>
      <x:c r="M27" s="33" t="n">
        <x:v>88000</x:v>
      </x:c>
      <x:c r="N27" s="33" t="n">
        <x:f>L27*M27</x:f>
        <x:v>88000</x:v>
      </x:c>
      <x:c r="O27" s="34" t="n">
        <x:v>0</x:v>
      </x:c>
      <x:c r="P27" s="33" t="n">
        <x:f>N27*O27/100</x:f>
        <x:v>0</x:v>
      </x:c>
      <x:c r="Q27" s="33" t="str">
        <x:v>VAT-STD-SCHEME</x:v>
      </x:c>
      <x:c r="R27" s="35" t="n">
        <x:v>20</x:v>
      </x:c>
      <x:c r="S27" s="33" t="n">
        <x:f>(N27-P27)*R27/100</x:f>
        <x:v>17600</x:v>
      </x:c>
      <x:c r="T27" s="35" t="n">
        <x:v>0</x:v>
      </x:c>
      <x:c r="U27" s="33" t="n">
        <x:f>(N27-P27)*T27/100</x:f>
        <x:v>0</x:v>
      </x:c>
      <x:c r="V27" s="33" t="n">
        <x:f>N27-P27+S27</x:f>
        <x:v>105600</x:v>
      </x:c>
      <x:c r="W27" s="33" t="n">
        <x:f>V27*H27</x:f>
        <x:v>105600</x:v>
      </x:c>
      <x:c r="X27" s="30" t="str">
        <x:v>NET30</x:v>
      </x:c>
      <x:c r="Y27" s="32" t="n">
        <x:v>46211</x:v>
      </x:c>
      <x:c r="Z27" s="30" t="str">
        <x:v>Capitalized/Posted</x:v>
      </x:c>
      <x:c r="AA27" s="30" t="str"/>
      <x:c r="AB27" s="30" t="str">
        <x:v>Creates fixed asset, AP invoice, and GL capitalization posting.</x:v>
      </x:c>
    </x:row>
    <x:row r="28">
      <x:c r="A28" s="30" t="str">
        <x:v>FA-DEP-001</x:v>
      </x:c>
      <x:c r="B28" s="32" t="n">
        <x:v>46203</x:v>
      </x:c>
      <x:c r="C28" s="30" t="str">
        <x:v>Fixed Assets</x:v>
      </x:c>
      <x:c r="D28" s="30" t="str">
        <x:v>Depreciation Run</x:v>
      </x:c>
      <x:c r="E28" s="30" t="str"/>
      <x:c r="F28" s="30" t="str"/>
      <x:c r="G28" s="30" t="str">
        <x:v>GHS</x:v>
      </x:c>
      <x:c r="H28" s="30" t="n">
        <x:v>1</x:v>
      </x:c>
      <x:c r="I28" s="30" t="str">
        <x:v>000</x:v>
      </x:c>
      <x:c r="J28" s="30" t="str">
        <x:v>0000</x:v>
      </x:c>
      <x:c r="K28" s="30" t="str">
        <x:v>June depreciation for active assets</x:v>
      </x:c>
      <x:c r="L28" s="30" t="n">
        <x:v>1</x:v>
      </x:c>
      <x:c r="M28" s="33" t="n">
        <x:v>14340.83</x:v>
      </x:c>
      <x:c r="N28" s="33" t="n">
        <x:f>L28*M28</x:f>
        <x:v>14340.83</x:v>
      </x:c>
      <x:c r="O28" s="34" t="n">
        <x:v>0</x:v>
      </x:c>
      <x:c r="P28" s="33" t="n">
        <x:f>N28*O28/100</x:f>
        <x:v>0</x:v>
      </x:c>
      <x:c r="Q28" s="33" t="str"/>
      <x:c r="R28" s="35" t="n">
        <x:v>0</x:v>
      </x:c>
      <x:c r="S28" s="33" t="n">
        <x:f>(N28-P28)*R28/100</x:f>
        <x:v>0</x:v>
      </x:c>
      <x:c r="T28" s="35" t="n">
        <x:v>0</x:v>
      </x:c>
      <x:c r="U28" s="33" t="n">
        <x:f>(N28-P28)*T28/100</x:f>
        <x:v>0</x:v>
      </x:c>
      <x:c r="V28" s="33" t="n">
        <x:f>N28-P28+S28</x:f>
        <x:v>14340.83</x:v>
      </x:c>
      <x:c r="W28" s="33" t="n">
        <x:f>V28*H28</x:f>
        <x:v>14340.83</x:v>
      </x:c>
      <x:c r="X28" s="30" t="str"/>
      <x:c r="Y28" s="32"/>
      <x:c r="Z28" s="30" t="str">
        <x:v>Posted</x:v>
      </x:c>
      <x:c r="AA28" s="30" t="str"/>
      <x:c r="AB28" s="30" t="str">
        <x:v>Depreciation schedule should tie to GL and asset book values.</x:v>
      </x:c>
    </x:row>
    <x:row r="29">
      <x:c r="A29" s="30" t="str">
        <x:v>FA-TRF-001</x:v>
      </x:c>
      <x:c r="B29" s="32" t="n">
        <x:v>46197</x:v>
      </x:c>
      <x:c r="C29" s="30" t="str">
        <x:v>Fixed Assets</x:v>
      </x:c>
      <x:c r="D29" s="30" t="str">
        <x:v>Asset Transfer</x:v>
      </x:c>
      <x:c r="E29" s="30" t="str"/>
      <x:c r="F29" s="30" t="str"/>
      <x:c r="G29" s="30" t="str">
        <x:v>GHS</x:v>
      </x:c>
      <x:c r="H29" s="30" t="n">
        <x:v>1</x:v>
      </x:c>
      <x:c r="I29" s="30" t="str">
        <x:v>300</x:v>
      </x:c>
      <x:c r="J29" s="30" t="str">
        <x:v>P101</x:v>
      </x:c>
      <x:c r="K29" s="30" t="str">
        <x:v>Transfer Server Rack System to Development project</x:v>
      </x:c>
      <x:c r="L29" s="30" t="n">
        <x:v>1</x:v>
      </x:c>
      <x:c r="M29" s="33" t="n">
        <x:v>0</x:v>
      </x:c>
      <x:c r="N29" s="33" t="n">
        <x:f>L29*M29</x:f>
        <x:v>0</x:v>
      </x:c>
      <x:c r="O29" s="34" t="n">
        <x:v>0</x:v>
      </x:c>
      <x:c r="P29" s="33" t="n">
        <x:f>N29*O29/100</x:f>
        <x:v>0</x:v>
      </x:c>
      <x:c r="Q29" s="33" t="str"/>
      <x:c r="R29" s="35" t="n">
        <x:v>0</x:v>
      </x:c>
      <x:c r="S29" s="33" t="n">
        <x:f>(N29-P29)*R29/100</x:f>
        <x:v>0</x:v>
      </x:c>
      <x:c r="T29" s="35" t="n">
        <x:v>0</x:v>
      </x:c>
      <x:c r="U29" s="33" t="n">
        <x:f>(N29-P29)*T29/100</x:f>
        <x:v>0</x:v>
      </x:c>
      <x:c r="V29" s="33" t="n">
        <x:f>N29-P29+S29</x:f>
        <x:v>0</x:v>
      </x:c>
      <x:c r="W29" s="33" t="n">
        <x:f>V29*H29</x:f>
        <x:v>0</x:v>
      </x:c>
      <x:c r="X29" s="30" t="str"/>
      <x:c r="Y29" s="32"/>
      <x:c r="Z29" s="30" t="str">
        <x:v>Completed</x:v>
      </x:c>
      <x:c r="AA29" s="30" t="str">
        <x:v>FA-2024-EQP-002</x:v>
      </x:c>
      <x:c r="AB29" s="30" t="str">
        <x:v>No GL expected unless transfer cost is entered; segment/location/custodian should update.</x:v>
      </x:c>
    </x:row>
    <x:row r="30">
      <x:c r="A30" s="30" t="str">
        <x:v>FA-VAL-001</x:v>
      </x:c>
      <x:c r="B30" s="32" t="n">
        <x:v>46199</x:v>
      </x:c>
      <x:c r="C30" s="30" t="str">
        <x:v>Fixed Assets</x:v>
      </x:c>
      <x:c r="D30" s="30" t="str">
        <x:v>Impairment</x:v>
      </x:c>
      <x:c r="E30" s="30" t="str"/>
      <x:c r="F30" s="30" t="str"/>
      <x:c r="G30" s="30" t="str">
        <x:v>GHS</x:v>
      </x:c>
      <x:c r="H30" s="30" t="n">
        <x:v>1</x:v>
      </x:c>
      <x:c r="I30" s="30" t="str">
        <x:v>300</x:v>
      </x:c>
      <x:c r="J30" s="30" t="str">
        <x:v>P101</x:v>
      </x:c>
      <x:c r="K30" s="30" t="str">
        <x:v>Impair Server Rack System after damage assessment</x:v>
      </x:c>
      <x:c r="L30" s="30" t="n">
        <x:v>1</x:v>
      </x:c>
      <x:c r="M30" s="33" t="n">
        <x:v>10000</x:v>
      </x:c>
      <x:c r="N30" s="33" t="n">
        <x:f>L30*M30</x:f>
        <x:v>10000</x:v>
      </x:c>
      <x:c r="O30" s="34" t="n">
        <x:v>0</x:v>
      </x:c>
      <x:c r="P30" s="33" t="n">
        <x:f>N30*O30/100</x:f>
        <x:v>0</x:v>
      </x:c>
      <x:c r="Q30" s="33" t="str"/>
      <x:c r="R30" s="35" t="n">
        <x:v>0</x:v>
      </x:c>
      <x:c r="S30" s="33" t="n">
        <x:f>(N30-P30)*R30/100</x:f>
        <x:v>0</x:v>
      </x:c>
      <x:c r="T30" s="35" t="n">
        <x:v>0</x:v>
      </x:c>
      <x:c r="U30" s="33" t="n">
        <x:f>(N30-P30)*T30/100</x:f>
        <x:v>0</x:v>
      </x:c>
      <x:c r="V30" s="33" t="n">
        <x:f>N30-P30+S30</x:f>
        <x:v>10000</x:v>
      </x:c>
      <x:c r="W30" s="33" t="n">
        <x:f>V30*H30</x:f>
        <x:v>10000</x:v>
      </x:c>
      <x:c r="X30" s="30" t="str"/>
      <x:c r="Y30" s="32"/>
      <x:c r="Z30" s="30" t="str">
        <x:v>Posted</x:v>
      </x:c>
      <x:c r="AA30" s="30" t="str">
        <x:v>FA-2024-EQP-002</x:v>
      </x:c>
      <x:c r="AB30" s="30" t="str">
        <x:v>Check impairment mapping; if no impairment account configured, system should block or use configured fallback.</x:v>
      </x:c>
    </x:row>
    <x:row r="31">
      <x:c r="A31" s="30" t="str">
        <x:v>FA-DISP-001</x:v>
      </x:c>
      <x:c r="B31" s="32" t="n">
        <x:v>46201</x:v>
      </x:c>
      <x:c r="C31" s="30" t="str">
        <x:v>Fixed Assets</x:v>
      </x:c>
      <x:c r="D31" s="30" t="str">
        <x:v>Asset Disposal</x:v>
      </x:c>
      <x:c r="E31" s="30" t="str"/>
      <x:c r="F31" s="30" t="str"/>
      <x:c r="G31" s="30" t="str">
        <x:v>GHS</x:v>
      </x:c>
      <x:c r="H31" s="30" t="n">
        <x:v>1</x:v>
      </x:c>
      <x:c r="I31" s="30" t="str">
        <x:v>200</x:v>
      </x:c>
      <x:c r="J31" s="30" t="str">
        <x:v>0000</x:v>
      </x:c>
      <x:c r="K31" s="30" t="str">
        <x:v>Sell Delivery Truck - Toyota Hilux</x:v>
      </x:c>
      <x:c r="L31" s="30" t="n">
        <x:v>1</x:v>
      </x:c>
      <x:c r="M31" s="33" t="n">
        <x:v>190000</x:v>
      </x:c>
      <x:c r="N31" s="33" t="n">
        <x:f>L31*M31</x:f>
        <x:v>190000</x:v>
      </x:c>
      <x:c r="O31" s="34" t="n">
        <x:v>0</x:v>
      </x:c>
      <x:c r="P31" s="33" t="n">
        <x:f>N31*O31/100</x:f>
        <x:v>0</x:v>
      </x:c>
      <x:c r="Q31" s="33" t="str"/>
      <x:c r="R31" s="35" t="n">
        <x:v>0</x:v>
      </x:c>
      <x:c r="S31" s="33" t="n">
        <x:f>(N31-P31)*R31/100</x:f>
        <x:v>0</x:v>
      </x:c>
      <x:c r="T31" s="35" t="n">
        <x:v>0</x:v>
      </x:c>
      <x:c r="U31" s="33" t="n">
        <x:f>(N31-P31)*T31/100</x:f>
        <x:v>0</x:v>
      </x:c>
      <x:c r="V31" s="33" t="n">
        <x:f>N31-P31+S31</x:f>
        <x:v>190000</x:v>
      </x:c>
      <x:c r="W31" s="33" t="n">
        <x:f>V31*H31</x:f>
        <x:v>190000</x:v>
      </x:c>
      <x:c r="X31" s="30" t="str"/>
      <x:c r="Y31" s="32"/>
      <x:c r="Z31" s="30" t="str">
        <x:v>Disposed/Posted</x:v>
      </x:c>
      <x:c r="AA31" s="30" t="str">
        <x:v>FA-2024-VEH-001</x:v>
      </x:c>
      <x:c r="AB31" s="30" t="str">
        <x:v>Disposal must clear cost and accumulated depreciation and post gain/loss.</x:v>
      </x:c>
    </x:row>
    <x:row r="32">
      <x:c r="A32" s="30" t="str">
        <x:v>FA-LEASE-001</x:v>
      </x:c>
      <x:c r="B32" s="32" t="n">
        <x:v>46202</x:v>
      </x:c>
      <x:c r="C32" s="30" t="str">
        <x:v>Fixed Assets</x:v>
      </x:c>
      <x:c r="D32" s="30" t="str">
        <x:v>Lease Recognition</x:v>
      </x:c>
      <x:c r="E32" s="30" t="str"/>
      <x:c r="F32" s="30" t="str"/>
      <x:c r="G32" s="30" t="str">
        <x:v>GHS</x:v>
      </x:c>
      <x:c r="H32" s="30" t="n">
        <x:v>1</x:v>
      </x:c>
      <x:c r="I32" s="30" t="str">
        <x:v>100</x:v>
      </x:c>
      <x:c r="J32" s="30" t="str">
        <x:v>0000</x:v>
      </x:c>
      <x:c r="K32" s="30" t="str">
        <x:v>Recognize office lease ROU asset and liability</x:v>
      </x:c>
      <x:c r="L32" s="30" t="n">
        <x:v>1</x:v>
      </x:c>
      <x:c r="M32" s="33" t="n">
        <x:v>300000</x:v>
      </x:c>
      <x:c r="N32" s="33" t="n">
        <x:f>L32*M32</x:f>
        <x:v>300000</x:v>
      </x:c>
      <x:c r="O32" s="34" t="n">
        <x:v>0</x:v>
      </x:c>
      <x:c r="P32" s="33" t="n">
        <x:f>N32*O32/100</x:f>
        <x:v>0</x:v>
      </x:c>
      <x:c r="Q32" s="33" t="str"/>
      <x:c r="R32" s="35" t="n">
        <x:v>0</x:v>
      </x:c>
      <x:c r="S32" s="33" t="n">
        <x:f>(N32-P32)*R32/100</x:f>
        <x:v>0</x:v>
      </x:c>
      <x:c r="T32" s="35" t="n">
        <x:v>0</x:v>
      </x:c>
      <x:c r="U32" s="33" t="n">
        <x:f>(N32-P32)*T32/100</x:f>
        <x:v>0</x:v>
      </x:c>
      <x:c r="V32" s="33" t="n">
        <x:f>N32-P32+S32</x:f>
        <x:v>300000</x:v>
      </x:c>
      <x:c r="W32" s="33" t="n">
        <x:f>V32*H32</x:f>
        <x:v>300000</x:v>
      </x:c>
      <x:c r="X32" s="30" t="str"/>
      <x:c r="Y32" s="32"/>
      <x:c r="Z32" s="30" t="str">
        <x:v>Recognized/Posted</x:v>
      </x:c>
      <x:c r="AA32" s="30" t="str"/>
      <x:c r="AB32" s="30" t="str">
        <x:v>If lease/ROU accounts are not configured, setup should block posting with clear message.</x:v>
      </x:c>
    </x:row>
    <x:row r="33">
      <x:c r="A33" s="30" t="str">
        <x:v>FA-LEASE-PMT-001</x:v>
      </x:c>
      <x:c r="B33" s="32" t="n">
        <x:v>46203</x:v>
      </x:c>
      <x:c r="C33" s="30" t="str">
        <x:v>Fixed Assets</x:v>
      </x:c>
      <x:c r="D33" s="30" t="str">
        <x:v>Lease Payment</x:v>
      </x:c>
      <x:c r="E33" s="30" t="str"/>
      <x:c r="F33" s="30" t="str"/>
      <x:c r="G33" s="30" t="str">
        <x:v>GHS</x:v>
      </x:c>
      <x:c r="H33" s="30" t="n">
        <x:v>1</x:v>
      </x:c>
      <x:c r="I33" s="30" t="str">
        <x:v>100</x:v>
      </x:c>
      <x:c r="J33" s="30" t="str">
        <x:v>0000</x:v>
      </x:c>
      <x:c r="K33" s="30" t="str">
        <x:v>First lease payment with interest split</x:v>
      </x:c>
      <x:c r="L33" s="30" t="n">
        <x:v>1</x:v>
      </x:c>
      <x:c r="M33" s="33" t="n">
        <x:v>6000</x:v>
      </x:c>
      <x:c r="N33" s="33" t="n">
        <x:f>L33*M33</x:f>
        <x:v>6000</x:v>
      </x:c>
      <x:c r="O33" s="34" t="n">
        <x:v>0</x:v>
      </x:c>
      <x:c r="P33" s="33" t="n">
        <x:f>N33*O33/100</x:f>
        <x:v>0</x:v>
      </x:c>
      <x:c r="Q33" s="33" t="str"/>
      <x:c r="R33" s="35" t="n">
        <x:v>0</x:v>
      </x:c>
      <x:c r="S33" s="33" t="n">
        <x:f>(N33-P33)*R33/100</x:f>
        <x:v>0</x:v>
      </x:c>
      <x:c r="T33" s="35" t="n">
        <x:v>0</x:v>
      </x:c>
      <x:c r="U33" s="33" t="n">
        <x:f>(N33-P33)*T33/100</x:f>
        <x:v>0</x:v>
      </x:c>
      <x:c r="V33" s="33" t="n">
        <x:f>N33-P33+S33</x:f>
        <x:v>6000</x:v>
      </x:c>
      <x:c r="W33" s="33" t="n">
        <x:f>V33*H33</x:f>
        <x:v>6000</x:v>
      </x:c>
      <x:c r="X33" s="30" t="str"/>
      <x:c r="Y33" s="32"/>
      <x:c r="Z33" s="30" t="str">
        <x:v>Posted</x:v>
      </x:c>
      <x:c r="AA33" s="30" t="str">
        <x:v>FA-LEASE-001</x:v>
      </x:c>
      <x:c r="AB33" s="30" t="str">
        <x:v>Liability amortization and interest split should reconcile to lease schedule.</x:v>
      </x:c>
    </x:row>
    <x:row r="34">
      <x:c r="A34" s="30" t="str">
        <x:v>FX-REVAL-001</x:v>
      </x:c>
      <x:c r="B34" s="32" t="n">
        <x:v>46203</x:v>
      </x:c>
      <x:c r="C34" s="30" t="str">
        <x:v>Multi-Currency</x:v>
      </x:c>
      <x:c r="D34" s="30" t="str">
        <x:v>AR Revaluation</x:v>
      </x:c>
      <x:c r="E34" s="30" t="str">
        <x:v>CUS260001</x:v>
      </x:c>
      <x:c r="F34" s="30" t="str">
        <x:v>USD Customer</x:v>
      </x:c>
      <x:c r="G34" s="30" t="str">
        <x:v>USD</x:v>
      </x:c>
      <x:c r="H34" s="30" t="n">
        <x:v>13.1</x:v>
      </x:c>
      <x:c r="I34" s="30" t="str">
        <x:v>100</x:v>
      </x:c>
      <x:c r="J34" s="30" t="str">
        <x:v>0000</x:v>
      </x:c>
      <x:c r="K34" s="30" t="str">
        <x:v>Revalue open USD AR balance</x:v>
      </x:c>
      <x:c r="L34" s="30" t="n">
        <x:v>1</x:v>
      </x:c>
      <x:c r="M34" s="33" t="n">
        <x:v>7000</x:v>
      </x:c>
      <x:c r="N34" s="33" t="n">
        <x:f>L34*M34</x:f>
        <x:v>7000</x:v>
      </x:c>
      <x:c r="O34" s="34" t="n">
        <x:v>0</x:v>
      </x:c>
      <x:c r="P34" s="33" t="n">
        <x:f>N34*O34/100</x:f>
        <x:v>0</x:v>
      </x:c>
      <x:c r="Q34" s="33" t="str"/>
      <x:c r="R34" s="35" t="n">
        <x:v>0</x:v>
      </x:c>
      <x:c r="S34" s="33" t="n">
        <x:f>(N34-P34)*R34/100</x:f>
        <x:v>0</x:v>
      </x:c>
      <x:c r="T34" s="35" t="n">
        <x:v>0</x:v>
      </x:c>
      <x:c r="U34" s="33" t="n">
        <x:f>(N34-P34)*T34/100</x:f>
        <x:v>0</x:v>
      </x:c>
      <x:c r="V34" s="33" t="n">
        <x:f>N34-P34+S34</x:f>
        <x:v>7000</x:v>
      </x:c>
      <x:c r="W34" s="33" t="n">
        <x:f>V34*H34</x:f>
        <x:v>91700</x:v>
      </x:c>
      <x:c r="X34" s="30" t="str"/>
      <x:c r="Y34" s="32"/>
      <x:c r="Z34" s="30" t="str">
        <x:v>Posted</x:v>
      </x:c>
      <x:c r="AA34" s="30" t="str">
        <x:v>OB-AR-002</x:v>
      </x:c>
      <x:c r="AB34" s="30" t="str">
        <x:v>Should reverse prior unrealized entries before current revaluation if any.</x:v>
      </x:c>
    </x:row>
    <x:row r="35">
      <x:c r="A35" s="30" t="str">
        <x:v>FX-REVAL-002</x:v>
      </x:c>
      <x:c r="B35" s="32" t="n">
        <x:v>46203</x:v>
      </x:c>
      <x:c r="C35" s="30" t="str">
        <x:v>Multi-Currency</x:v>
      </x:c>
      <x:c r="D35" s="30" t="str">
        <x:v>AP Revaluation</x:v>
      </x:c>
      <x:c r="E35" s="30" t="str">
        <x:v>SUP260001</x:v>
      </x:c>
      <x:c r="F35" s="30" t="str">
        <x:v>USD Supplier</x:v>
      </x:c>
      <x:c r="G35" s="30" t="str">
        <x:v>USD</x:v>
      </x:c>
      <x:c r="H35" s="30" t="n">
        <x:v>13.1</x:v>
      </x:c>
      <x:c r="I35" s="30" t="str">
        <x:v>100</x:v>
      </x:c>
      <x:c r="J35" s="30" t="str">
        <x:v>0000</x:v>
      </x:c>
      <x:c r="K35" s="30" t="str">
        <x:v>Revalue open USD AP balance</x:v>
      </x:c>
      <x:c r="L35" s="30" t="n">
        <x:v>1</x:v>
      </x:c>
      <x:c r="M35" s="33" t="n">
        <x:v>6000</x:v>
      </x:c>
      <x:c r="N35" s="33" t="n">
        <x:f>L35*M35</x:f>
        <x:v>6000</x:v>
      </x:c>
      <x:c r="O35" s="34" t="n">
        <x:v>0</x:v>
      </x:c>
      <x:c r="P35" s="33" t="n">
        <x:f>N35*O35/100</x:f>
        <x:v>0</x:v>
      </x:c>
      <x:c r="Q35" s="33" t="str"/>
      <x:c r="R35" s="35" t="n">
        <x:v>0</x:v>
      </x:c>
      <x:c r="S35" s="33" t="n">
        <x:f>(N35-P35)*R35/100</x:f>
        <x:v>0</x:v>
      </x:c>
      <x:c r="T35" s="35" t="n">
        <x:v>0</x:v>
      </x:c>
      <x:c r="U35" s="33" t="n">
        <x:f>(N35-P35)*T35/100</x:f>
        <x:v>0</x:v>
      </x:c>
      <x:c r="V35" s="33" t="n">
        <x:f>N35-P35+S35</x:f>
        <x:v>6000</x:v>
      </x:c>
      <x:c r="W35" s="33" t="n">
        <x:f>V35*H35</x:f>
        <x:v>78600</x:v>
      </x:c>
      <x:c r="X35" s="30" t="str"/>
      <x:c r="Y35" s="32"/>
      <x:c r="Z35" s="30" t="str">
        <x:v>Posted</x:v>
      </x:c>
      <x:c r="AA35" s="30" t="str">
        <x:v>OB-AP-001</x:v>
      </x:c>
      <x:c r="AB35" s="30" t="str">
        <x:v>Liability revaluation loss should increase AP in base currency.</x:v>
      </x:c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  <x:c r="AA36" s="27"/>
      <x:c r="AB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  <x:c r="AA37" s="27"/>
      <x:c r="AB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  <x:c r="AA38" s="27"/>
      <x:c r="AB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  <x:c r="AA39" s="27"/>
      <x:c r="AB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  <x:c r="AA40" s="27"/>
      <x:c r="AB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  <x:c r="AA41" s="27"/>
      <x:c r="AB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  <x:c r="AA42" s="27"/>
      <x:c r="AB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  <x:c r="AA43" s="27"/>
      <x:c r="AB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  <x:c r="AA44" s="27"/>
      <x:c r="AB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  <x:c r="AA45" s="27"/>
      <x:c r="AB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  <x:c r="AA46" s="27"/>
      <x:c r="AB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  <x:c r="AA47" s="27"/>
      <x:c r="AB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  <x:c r="AA48" s="27"/>
      <x:c r="AB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  <x:c r="AA49" s="27"/>
      <x:c r="AB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  <x:c r="AA50" s="27"/>
      <x:c r="AB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  <x:c r="AA51" s="27"/>
      <x:c r="AB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  <x:c r="AA52" s="27"/>
      <x:c r="AB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  <x:c r="AA53" s="27"/>
      <x:c r="AB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  <x:c r="AA54" s="27"/>
      <x:c r="AB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  <x:c r="AA55" s="27"/>
      <x:c r="AB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  <x:c r="AA56" s="27"/>
      <x:c r="AB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  <x:c r="AA57" s="27"/>
      <x:c r="AB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  <x:c r="AA58" s="27"/>
      <x:c r="AB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  <x:c r="AA59" s="27"/>
      <x:c r="AB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  <x:c r="AA60" s="27"/>
      <x:c r="AB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  <x:c r="AA61" s="27"/>
      <x:c r="AB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  <x:c r="AA62" s="27"/>
      <x:c r="AB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  <x:c r="AA63" s="27"/>
      <x:c r="AB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  <x:c r="AA64" s="27"/>
      <x:c r="AB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  <x:c r="AA65" s="27"/>
      <x:c r="AB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  <x:c r="AA66" s="27"/>
      <x:c r="AB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  <x:c r="AA67" s="27"/>
      <x:c r="AB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  <x:c r="AA68" s="27"/>
      <x:c r="AB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  <x:c r="AA69" s="27"/>
      <x:c r="AB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  <x:c r="AA70" s="27"/>
      <x:c r="AB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  <x:c r="AA71" s="27"/>
      <x:c r="AB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  <x:c r="AA72" s="27"/>
      <x:c r="AB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  <x:c r="AA73" s="27"/>
      <x:c r="AB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  <x:c r="AA74" s="27"/>
      <x:c r="AB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  <x:c r="AA75" s="27"/>
      <x:c r="AB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  <x:c r="AA76" s="27"/>
      <x:c r="AB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  <x:c r="AA77" s="27"/>
      <x:c r="AB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  <x:c r="AA78" s="27"/>
      <x:c r="AB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  <x:c r="AA79" s="27"/>
      <x:c r="AB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  <x:c r="AA80" s="27"/>
      <x:c r="AB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  <x:c r="AA81" s="27"/>
      <x:c r="AB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  <x:c r="AA82" s="27"/>
      <x:c r="AB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  <x:c r="AA83" s="27"/>
      <x:c r="AB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  <x:c r="AA84" s="27"/>
      <x:c r="AB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  <x:c r="AA85" s="27"/>
      <x:c r="AB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  <x:c r="AA86" s="27"/>
      <x:c r="AB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  <x:c r="AA87" s="27"/>
      <x:c r="AB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  <x:c r="AA88" s="27"/>
      <x:c r="AB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  <x:c r="AA89" s="27"/>
      <x:c r="AB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  <x:c r="AA90" s="27"/>
      <x:c r="AB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  <x:c r="AA91" s="27"/>
      <x:c r="AB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  <x:c r="AA92" s="27"/>
      <x:c r="AB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  <x:c r="AA93" s="27"/>
      <x:c r="AB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  <x:c r="AA94" s="27"/>
      <x:c r="AB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  <x:c r="AA95" s="27"/>
      <x:c r="AB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  <x:c r="AA96" s="27"/>
      <x:c r="AB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  <x:c r="AA97" s="27"/>
      <x:c r="AB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  <x:c r="AA98" s="27"/>
      <x:c r="AB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  <x:c r="AA99" s="27"/>
      <x:c r="AB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  <x:c r="AA100" s="27"/>
      <x:c r="AB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  <x:c r="AA101" s="27"/>
      <x:c r="AB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  <x:c r="AA102" s="27"/>
      <x:c r="AB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  <x:c r="AA103" s="27"/>
      <x:c r="AB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  <x:c r="AA104" s="27"/>
      <x:c r="AB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  <x:c r="AA105" s="27"/>
      <x:c r="AB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  <x:c r="AA106" s="27"/>
      <x:c r="AB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  <x:c r="AA107" s="27"/>
      <x:c r="AB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  <x:c r="AA108" s="27"/>
      <x:c r="AB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  <x:c r="AA109" s="27"/>
      <x:c r="AB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  <x:c r="AA110" s="27"/>
      <x:c r="AB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  <x:c r="AA111" s="27"/>
      <x:c r="AB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  <x:c r="AA112" s="27"/>
      <x:c r="AB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  <x:c r="AA113" s="27"/>
      <x:c r="AB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  <x:c r="AA114" s="27"/>
      <x:c r="AB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  <x:c r="AA115" s="27"/>
      <x:c r="AB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  <x:c r="AA116" s="27"/>
      <x:c r="AB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  <x:c r="AA117" s="27"/>
      <x:c r="AB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  <x:c r="AA118" s="27"/>
      <x:c r="AB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  <x:c r="AA119" s="27"/>
      <x:c r="AB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  <x:c r="AA120" s="27"/>
      <x:c r="AB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  <x:c r="AA121" s="27"/>
      <x:c r="AB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  <x:c r="AA122" s="27"/>
      <x:c r="AB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  <x:c r="AA123" s="27"/>
      <x:c r="AB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  <x:c r="AA124" s="27"/>
      <x:c r="AB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  <x:c r="AA125" s="27"/>
      <x:c r="AB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  <x:c r="AA126" s="27"/>
      <x:c r="AB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  <x:c r="AA127" s="27"/>
      <x:c r="AB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  <x:c r="AA128" s="27"/>
      <x:c r="AB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  <x:c r="AA129" s="27"/>
      <x:c r="AB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  <x:c r="AA130" s="27"/>
      <x:c r="AB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  <x:c r="AA131" s="27"/>
      <x:c r="AB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  <x:c r="AA132" s="27"/>
      <x:c r="AB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  <x:c r="AA133" s="27"/>
      <x:c r="AB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  <x:c r="AA134" s="27"/>
      <x:c r="AB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  <x:c r="AA135" s="27"/>
      <x:c r="AB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  <x:c r="AA136" s="27"/>
      <x:c r="AB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  <x:c r="AA137" s="27"/>
      <x:c r="AB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  <x:c r="AA138" s="27"/>
      <x:c r="AB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  <x:c r="AA139" s="27"/>
      <x:c r="AB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  <x:c r="AA140" s="27"/>
      <x:c r="AB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  <x:c r="AA141" s="27"/>
      <x:c r="AB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  <x:c r="AA142" s="27"/>
      <x:c r="AB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  <x:c r="AA143" s="27"/>
      <x:c r="AB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  <x:c r="AA144" s="27"/>
      <x:c r="AB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  <x:c r="AA145" s="27"/>
      <x:c r="AB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  <x:c r="AA146" s="27"/>
      <x:c r="AB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  <x:c r="AA147" s="27"/>
      <x:c r="AB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  <x:c r="AA148" s="27"/>
      <x:c r="AB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  <x:c r="AA149" s="27"/>
      <x:c r="AB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  <x:c r="AA150" s="27"/>
      <x:c r="AB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  <x:c r="AA151" s="27"/>
      <x:c r="AB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  <x:c r="AA152" s="27"/>
      <x:c r="AB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  <x:c r="AA153" s="27"/>
      <x:c r="AB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  <x:c r="AA154" s="27"/>
      <x:c r="AB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  <x:c r="AA155" s="27"/>
      <x:c r="AB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  <x:c r="AA156" s="27"/>
      <x:c r="AB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  <x:c r="AA157" s="27"/>
      <x:c r="AB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  <x:c r="AA158" s="27"/>
      <x:c r="AB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  <x:c r="AA159" s="27"/>
      <x:c r="AB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  <x:c r="AA160" s="27"/>
      <x:c r="AB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  <x:c r="AA161" s="27"/>
      <x:c r="AB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  <x:c r="AA162" s="27"/>
      <x:c r="AB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  <x:c r="AA163" s="27"/>
      <x:c r="AB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  <x:c r="AA164" s="27"/>
      <x:c r="AB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  <x:c r="AA165" s="27"/>
      <x:c r="AB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  <x:c r="AA166" s="27"/>
      <x:c r="AB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  <x:c r="AA167" s="27"/>
      <x:c r="AB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  <x:c r="AA168" s="27"/>
      <x:c r="AB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  <x:c r="AA169" s="27"/>
      <x:c r="AB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  <x:c r="AA170" s="27"/>
      <x:c r="AB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  <x:c r="AA171" s="27"/>
      <x:c r="AB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  <x:c r="AA172" s="27"/>
      <x:c r="AB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  <x:c r="AA173" s="27"/>
      <x:c r="AB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  <x:c r="AA174" s="27"/>
      <x:c r="AB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  <x:c r="AA175" s="27"/>
      <x:c r="AB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  <x:c r="AA176" s="27"/>
      <x:c r="AB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  <x:c r="AA177" s="27"/>
      <x:c r="AB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  <x:c r="AA178" s="27"/>
      <x:c r="AB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  <x:c r="AA179" s="27"/>
      <x:c r="AB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  <x:c r="AA180" s="27"/>
      <x:c r="AB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  <x:c r="AA181" s="27"/>
      <x:c r="AB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  <x:c r="AA182" s="27"/>
      <x:c r="AB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  <x:c r="AA183" s="27"/>
      <x:c r="AB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  <x:c r="AA184" s="27"/>
      <x:c r="AB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  <x:c r="AA185" s="27"/>
      <x:c r="AB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  <x:c r="AA186" s="27"/>
      <x:c r="AB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  <x:c r="AA187" s="27"/>
      <x:c r="AB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  <x:c r="AA188" s="27"/>
      <x:c r="AB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  <x:c r="AA189" s="27"/>
      <x:c r="AB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  <x:c r="AA190" s="27"/>
      <x:c r="AB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  <x:c r="AA191" s="27"/>
      <x:c r="AB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  <x:c r="AA192" s="27"/>
      <x:c r="AB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  <x:c r="AA193" s="27"/>
      <x:c r="AB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  <x:c r="AA194" s="27"/>
      <x:c r="AB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  <x:c r="AA195" s="27"/>
      <x:c r="AB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  <x:c r="AA196" s="27"/>
      <x:c r="AB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  <x:c r="AA197" s="27"/>
      <x:c r="AB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  <x:c r="AA198" s="27"/>
      <x:c r="AB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  <x:c r="AA199" s="27"/>
      <x:c r="AB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  <x:c r="AA200" s="27"/>
      <x:c r="AB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  <x:c r="AA201" s="27"/>
      <x:c r="AB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  <x:c r="AA202" s="27"/>
      <x:c r="AB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  <x:c r="AA203" s="27"/>
      <x:c r="AB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  <x:c r="AA204" s="27"/>
      <x:c r="AB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  <x:c r="AA205" s="27"/>
      <x:c r="AB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  <x:c r="Z206" s="27"/>
      <x:c r="AA206" s="27"/>
      <x:c r="AB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  <x:c r="Z207" s="27"/>
      <x:c r="AA207" s="27"/>
      <x:c r="AB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  <x:c r="Z208" s="27"/>
      <x:c r="AA208" s="27"/>
      <x:c r="AB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  <x:c r="Z209" s="27"/>
      <x:c r="AA209" s="27"/>
      <x:c r="AB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  <x:c r="Z210" s="27"/>
      <x:c r="AA210" s="27"/>
      <x:c r="AB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  <x:c r="Z211" s="27"/>
      <x:c r="AA211" s="27"/>
      <x:c r="AB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  <x:c r="Z212" s="27"/>
      <x:c r="AA212" s="27"/>
      <x:c r="AB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  <x:c r="Z213" s="27"/>
      <x:c r="AA213" s="27"/>
      <x:c r="AB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  <x:c r="Z214" s="27"/>
      <x:c r="AA214" s="27"/>
      <x:c r="AB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  <x:c r="Z215" s="27"/>
      <x:c r="AA215" s="27"/>
      <x:c r="AB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  <x:c r="Z216" s="27"/>
      <x:c r="AA216" s="27"/>
      <x:c r="AB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  <x:c r="Z217" s="27"/>
      <x:c r="AA217" s="27"/>
      <x:c r="AB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  <x:c r="Z218" s="27"/>
      <x:c r="AA218" s="27"/>
      <x:c r="AB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  <x:c r="Z219" s="27"/>
      <x:c r="AA219" s="27"/>
      <x:c r="AB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  <x:c r="Z220" s="27"/>
      <x:c r="AA220" s="27"/>
      <x:c r="AB220" s="2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22" hidden="0" customWidth="1"/>
    <x:col min="4" max="4" width="16" hidden="0" customWidth="1"/>
    <x:col min="5" max="5" width="18" hidden="0" customWidth="1"/>
    <x:col min="6" max="6" width="32" hidden="0" customWidth="1"/>
    <x:col min="7" max="7" width="9" hidden="0" customWidth="1"/>
    <x:col min="8" max="8" width="16" hidden="0" customWidth="1"/>
    <x:col min="9" max="9" width="24" hidden="0" customWidth="1"/>
    <x:col min="10" max="10" width="46" hidden="0" customWidth="1"/>
    <x:col min="11" max="11" width="14" hidden="0" customWidth="1"/>
    <x:col min="12" max="12" width="14" hidden="0" customWidth="1"/>
  </x:cols>
  <x:sheetData>
    <x:row r="1" ht="28" customHeight="1">
      <x:c r="A1" s="26" t="str">
        <x:v>Expected GL Postings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  <x:c r="AA1" s="27"/>
      <x:c r="AB1" s="27"/>
    </x:row>
    <x:row r="2" ht="46" customHeight="1">
      <x:c r="A2" s="28" t="str">
        <x:v>Expected debit/credit lines to compare against generated journal entries. Use this as a validation target, not as an import template.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</x:row>
    <x:row r="4">
      <x:c r="A4" s="31" t="str">
        <x:v>Txn ID</x:v>
      </x:c>
      <x:c r="B4" s="31" t="str">
        <x:v>Date</x:v>
      </x:c>
      <x:c r="C4" s="31" t="str">
        <x:v>Module</x:v>
      </x:c>
      <x:c r="D4" s="31" t="str">
        <x:v>Source Doc</x:v>
      </x:c>
      <x:c r="E4" s="31" t="str">
        <x:v>Account Number</x:v>
      </x:c>
      <x:c r="F4" s="31" t="str">
        <x:v>Account Name</x:v>
      </x:c>
      <x:c r="G4" s="31" t="str">
        <x:v>DR/CR</x:v>
      </x:c>
      <x:c r="H4" s="31" t="str">
        <x:v>Amount GHS</x:v>
      </x:c>
      <x:c r="I4" s="31" t="str">
        <x:v>Segment</x:v>
      </x:c>
      <x:c r="J4" s="31" t="str">
        <x:v>Memo</x:v>
      </x:c>
      <x:c r="K4" s="31" t="str">
        <x:v>Txn Net Check</x:v>
      </x:c>
      <x:c r="L4" s="31" t="str">
        <x:v>Line Status</x:v>
      </x:c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  <x:c r="AA4" s="27"/>
      <x:c r="AB4" s="27"/>
    </x:row>
    <x:row r="5">
      <x:c r="A5" s="30" t="str">
        <x:v>OB-AR-001</x:v>
      </x:c>
      <x:c r="B5" s="32" t="str">
        <x:v>2026-06-01</x:v>
      </x:c>
      <x:c r="C5" s="30" t="str">
        <x:v>Opening Balances</x:v>
      </x:c>
      <x:c r="D5" s="30" t="str"/>
      <x:c r="E5" s="30" t="str">
        <x:v>000-1100-0000</x:v>
      </x:c>
      <x:c r="F5" s="30" t="str">
        <x:v>Accounts Receivable</x:v>
      </x:c>
      <x:c r="G5" s="30" t="str">
        <x:v>DR</x:v>
      </x:c>
      <x:c r="H5" s="33" t="n">
        <x:v>97500</x:v>
      </x:c>
      <x:c r="I5" s="30" t="str">
        <x:v>DEPT=100;PROJ=0000</x:v>
      </x:c>
      <x:c r="J5" s="30" t="str">
        <x:v>Opening AR - Golden Coast Homes Ltd</x:v>
      </x:c>
      <x:c r="K5" s="33" t="n">
        <x:f>SUMIFS($H$5:$H$200,$A$5:$A$200,A5,$G$5:$G$200,"DR")-SUMIFS($H$5:$H$200,$A$5:$A$200,A5,$G$5:$G$200,"CR")</x:f>
        <x:v>0</x:v>
      </x:c>
      <x:c r="L5" s="30" t="str">
        <x:f>IF(ABS(K5)&lt;0.01,"Balanced","Check Txn")</x:f>
        <x:v>Balanced</x:v>
      </x:c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  <x:c r="AB5" s="27"/>
    </x:row>
    <x:row r="6">
      <x:c r="A6" s="30" t="str">
        <x:v>OB-AR-001</x:v>
      </x:c>
      <x:c r="B6" s="32" t="str">
        <x:v>2026-06-01</x:v>
      </x:c>
      <x:c r="C6" s="30" t="str">
        <x:v>Opening Balances</x:v>
      </x:c>
      <x:c r="D6" s="30" t="str"/>
      <x:c r="E6" s="30" t="str">
        <x:v>000-1990-0000</x:v>
      </x:c>
      <x:c r="F6" s="30" t="str">
        <x:v>Migration Clearing Account</x:v>
      </x:c>
      <x:c r="G6" s="30" t="str">
        <x:v>CR</x:v>
      </x:c>
      <x:c r="H6" s="33" t="n">
        <x:v>97500</x:v>
      </x:c>
      <x:c r="I6" s="30" t="str">
        <x:v>DEPT=100;PROJ=0000</x:v>
      </x:c>
      <x:c r="J6" s="30" t="str">
        <x:v>Opening AR migration clearing</x:v>
      </x:c>
      <x:c r="K6" s="33" t="n">
        <x:f>SUMIFS($H$5:$H$200,$A$5:$A$200,A6,$G$5:$G$200,"DR")-SUMIFS($H$5:$H$200,$A$5:$A$200,A6,$G$5:$G$200,"CR")</x:f>
        <x:v>0</x:v>
      </x:c>
      <x:c r="L6" s="30" t="str">
        <x:f>IF(ABS(K6)&lt;0.01,"Balanced","Check Txn")</x:f>
        <x:v>Balanced</x:v>
      </x:c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  <x:c r="AA6" s="27"/>
      <x:c r="AB6" s="27"/>
    </x:row>
    <x:row r="7">
      <x:c r="A7" s="30" t="str">
        <x:v>OB-AR-002</x:v>
      </x:c>
      <x:c r="B7" s="32" t="str">
        <x:v>2026-06-01</x:v>
      </x:c>
      <x:c r="C7" s="30" t="str">
        <x:v>Opening Balances</x:v>
      </x:c>
      <x:c r="D7" s="30" t="str"/>
      <x:c r="E7" s="30" t="str">
        <x:v>000-1100-0000</x:v>
      </x:c>
      <x:c r="F7" s="30" t="str">
        <x:v>Accounts Receivable</x:v>
      </x:c>
      <x:c r="G7" s="30" t="str">
        <x:v>DR</x:v>
      </x:c>
      <x:c r="H7" s="33" t="n">
        <x:v>87500</x:v>
      </x:c>
      <x:c r="I7" s="30" t="str">
        <x:v>DEPT=100;PROJ=0000</x:v>
      </x:c>
      <x:c r="J7" s="30" t="str">
        <x:v>Opening AR - USD Customer</x:v>
      </x:c>
      <x:c r="K7" s="33" t="n">
        <x:f>SUMIFS($H$5:$H$200,$A$5:$A$200,A7,$G$5:$G$200,"DR")-SUMIFS($H$5:$H$200,$A$5:$A$200,A7,$G$5:$G$200,"CR")</x:f>
        <x:v>0</x:v>
      </x:c>
      <x:c r="L7" s="30" t="str">
        <x:f>IF(ABS(K7)&lt;0.01,"Balanced","Check Txn")</x:f>
        <x:v>Balanced</x:v>
      </x:c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  <x:c r="AA7" s="27"/>
      <x:c r="AB7" s="27"/>
    </x:row>
    <x:row r="8">
      <x:c r="A8" s="30" t="str">
        <x:v>OB-AR-002</x:v>
      </x:c>
      <x:c r="B8" s="32" t="str">
        <x:v>2026-06-01</x:v>
      </x:c>
      <x:c r="C8" s="30" t="str">
        <x:v>Opening Balances</x:v>
      </x:c>
      <x:c r="D8" s="30" t="str"/>
      <x:c r="E8" s="30" t="str">
        <x:v>000-1990-0000</x:v>
      </x:c>
      <x:c r="F8" s="30" t="str">
        <x:v>Migration Clearing Account</x:v>
      </x:c>
      <x:c r="G8" s="30" t="str">
        <x:v>CR</x:v>
      </x:c>
      <x:c r="H8" s="33" t="n">
        <x:v>87500</x:v>
      </x:c>
      <x:c r="I8" s="30" t="str">
        <x:v>DEPT=100;PROJ=0000</x:v>
      </x:c>
      <x:c r="J8" s="30" t="str">
        <x:v>Opening AR migration clearing</x:v>
      </x:c>
      <x:c r="K8" s="33" t="n">
        <x:f>SUMIFS($H$5:$H$200,$A$5:$A$200,A8,$G$5:$G$200,"DR")-SUMIFS($H$5:$H$200,$A$5:$A$200,A8,$G$5:$G$200,"CR")</x:f>
        <x:v>0</x:v>
      </x:c>
      <x:c r="L8" s="30" t="str">
        <x:f>IF(ABS(K8)&lt;0.01,"Balanced","Check Txn")</x:f>
        <x:v>Balanced</x:v>
      </x:c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  <x:c r="AA8" s="27"/>
      <x:c r="AB8" s="27"/>
    </x:row>
    <x:row r="9">
      <x:c r="A9" s="30" t="str">
        <x:v>OB-AP-001</x:v>
      </x:c>
      <x:c r="B9" s="32" t="str">
        <x:v>2026-06-01</x:v>
      </x:c>
      <x:c r="C9" s="30" t="str">
        <x:v>Opening Balances</x:v>
      </x:c>
      <x:c r="D9" s="30" t="str"/>
      <x:c r="E9" s="30" t="str">
        <x:v>000-1990-0000</x:v>
      </x:c>
      <x:c r="F9" s="30" t="str">
        <x:v>Migration Clearing Account</x:v>
      </x:c>
      <x:c r="G9" s="30" t="str">
        <x:v>DR</x:v>
      </x:c>
      <x:c r="H9" s="33" t="n">
        <x:v>75000</x:v>
      </x:c>
      <x:c r="I9" s="30" t="str">
        <x:v>DEPT=100;PROJ=0000</x:v>
      </x:c>
      <x:c r="J9" s="30" t="str">
        <x:v>Opening AP migration clearing</x:v>
      </x:c>
      <x:c r="K9" s="33" t="n">
        <x:f>SUMIFS($H$5:$H$200,$A$5:$A$200,A9,$G$5:$G$200,"DR")-SUMIFS($H$5:$H$200,$A$5:$A$200,A9,$G$5:$G$200,"CR")</x:f>
        <x:v>0</x:v>
      </x:c>
      <x:c r="L9" s="30" t="str">
        <x:f>IF(ABS(K9)&lt;0.01,"Balanced","Check Txn")</x:f>
        <x:v>Balanced</x:v>
      </x:c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  <x:c r="AA9" s="27"/>
      <x:c r="AB9" s="27"/>
    </x:row>
    <x:row r="10">
      <x:c r="A10" s="30" t="str">
        <x:v>OB-AP-001</x:v>
      </x:c>
      <x:c r="B10" s="32" t="str">
        <x:v>2026-06-01</x:v>
      </x:c>
      <x:c r="C10" s="30" t="str">
        <x:v>Opening Balances</x:v>
      </x:c>
      <x:c r="D10" s="30" t="str"/>
      <x:c r="E10" s="30" t="str">
        <x:v>000-2000-0000</x:v>
      </x:c>
      <x:c r="F10" s="30" t="str">
        <x:v>Accounts Payable</x:v>
      </x:c>
      <x:c r="G10" s="30" t="str">
        <x:v>CR</x:v>
      </x:c>
      <x:c r="H10" s="33" t="n">
        <x:v>75000</x:v>
      </x:c>
      <x:c r="I10" s="30" t="str">
        <x:v>DEPT=100;PROJ=0000</x:v>
      </x:c>
      <x:c r="J10" s="30" t="str">
        <x:v>Opening AP - USD Supplier</x:v>
      </x:c>
      <x:c r="K10" s="33" t="n">
        <x:f>SUMIFS($H$5:$H$200,$A$5:$A$200,A10,$G$5:$G$200,"DR")-SUMIFS($H$5:$H$200,$A$5:$A$200,A10,$G$5:$G$200,"CR")</x:f>
        <x:v>0</x:v>
      </x:c>
      <x:c r="L10" s="30" t="str">
        <x:f>IF(ABS(K10)&lt;0.01,"Balanced","Check Txn")</x:f>
        <x:v>Balanced</x:v>
      </x:c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  <x:c r="AA10" s="27"/>
      <x:c r="AB10" s="27"/>
    </x:row>
    <x:row r="11">
      <x:c r="A11" s="30" t="str">
        <x:v>OB-AP-002</x:v>
      </x:c>
      <x:c r="B11" s="32" t="str">
        <x:v>2026-06-01</x:v>
      </x:c>
      <x:c r="C11" s="30" t="str">
        <x:v>Opening Balances</x:v>
      </x:c>
      <x:c r="D11" s="30" t="str"/>
      <x:c r="E11" s="30" t="str">
        <x:v>000-1990-0000</x:v>
      </x:c>
      <x:c r="F11" s="30" t="str">
        <x:v>Migration Clearing Account</x:v>
      </x:c>
      <x:c r="G11" s="30" t="str">
        <x:v>DR</x:v>
      </x:c>
      <x:c r="H11" s="33" t="n">
        <x:v>50000</x:v>
      </x:c>
      <x:c r="I11" s="30" t="str">
        <x:v>DEPT=300;PROJ=P101</x:v>
      </x:c>
      <x:c r="J11" s="30" t="str">
        <x:v>Opening AP migration clearing</x:v>
      </x:c>
      <x:c r="K11" s="33" t="n">
        <x:f>SUMIFS($H$5:$H$200,$A$5:$A$200,A11,$G$5:$G$200,"DR")-SUMIFS($H$5:$H$200,$A$5:$A$200,A11,$G$5:$G$200,"CR")</x:f>
        <x:v>0</x:v>
      </x:c>
      <x:c r="L11" s="30" t="str">
        <x:f>IF(ABS(K11)&lt;0.01,"Balanced","Check Txn")</x:f>
        <x:v>Balanced</x:v>
      </x:c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  <x:c r="AA11" s="27"/>
      <x:c r="AB11" s="27"/>
    </x:row>
    <x:row r="12">
      <x:c r="A12" s="30" t="str">
        <x:v>OB-AP-002</x:v>
      </x:c>
      <x:c r="B12" s="32" t="str">
        <x:v>2026-06-01</x:v>
      </x:c>
      <x:c r="C12" s="30" t="str">
        <x:v>Opening Balances</x:v>
      </x:c>
      <x:c r="D12" s="30" t="str"/>
      <x:c r="E12" s="30" t="str">
        <x:v>000-2000-0000</x:v>
      </x:c>
      <x:c r="F12" s="30" t="str">
        <x:v>Accounts Payable</x:v>
      </x:c>
      <x:c r="G12" s="30" t="str">
        <x:v>CR</x:v>
      </x:c>
      <x:c r="H12" s="33" t="n">
        <x:v>50000</x:v>
      </x:c>
      <x:c r="I12" s="30" t="str">
        <x:v>DEPT=300;PROJ=P101</x:v>
      </x:c>
      <x:c r="J12" s="30" t="str">
        <x:v>Opening AP - Adom Construction Ltd</x:v>
      </x:c>
      <x:c r="K12" s="33" t="n">
        <x:f>SUMIFS($H$5:$H$200,$A$5:$A$200,A12,$G$5:$G$200,"DR")-SUMIFS($H$5:$H$200,$A$5:$A$200,A12,$G$5:$G$200,"CR")</x:f>
        <x:v>0</x:v>
      </x:c>
      <x:c r="L12" s="30" t="str">
        <x:f>IF(ABS(K12)&lt;0.01,"Balanced","Check Txn")</x:f>
        <x:v>Balanced</x:v>
      </x:c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  <x:c r="AA12" s="27"/>
      <x:c r="AB12" s="27"/>
    </x:row>
    <x:row r="13">
      <x:c r="A13" s="30" t="str">
        <x:v>OB-GL-001</x:v>
      </x:c>
      <x:c r="B13" s="32" t="str">
        <x:v>2026-06-01</x:v>
      </x:c>
      <x:c r="C13" s="30" t="str">
        <x:v>Opening Balances</x:v>
      </x:c>
      <x:c r="D13" s="30" t="str"/>
      <x:c r="E13" s="30" t="str">
        <x:v>000-1000-0000</x:v>
      </x:c>
      <x:c r="F13" s="30" t="str">
        <x:v>Cash and Cash Equivalents</x:v>
      </x:c>
      <x:c r="G13" s="30" t="str">
        <x:v>DR</x:v>
      </x:c>
      <x:c r="H13" s="33" t="n">
        <x:v>350000</x:v>
      </x:c>
      <x:c r="I13" s="30" t="str">
        <x:v>DEPT=000;PROJ=0000</x:v>
      </x:c>
      <x:c r="J13" s="30" t="str">
        <x:v>Opening cash</x:v>
      </x:c>
      <x:c r="K13" s="33" t="n">
        <x:f>SUMIFS($H$5:$H$200,$A$5:$A$200,A13,$G$5:$G$200,"DR")-SUMIFS($H$5:$H$200,$A$5:$A$200,A13,$G$5:$G$200,"CR")</x:f>
        <x:v>0</x:v>
      </x:c>
      <x:c r="L13" s="30" t="str">
        <x:f>IF(ABS(K13)&lt;0.01,"Balanced","Check Txn")</x:f>
        <x:v>Balanced</x:v>
      </x:c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  <x:c r="AA13" s="27"/>
      <x:c r="AB13" s="27"/>
    </x:row>
    <x:row r="14">
      <x:c r="A14" s="30" t="str">
        <x:v>OB-GL-001</x:v>
      </x:c>
      <x:c r="B14" s="32" t="str">
        <x:v>2026-06-01</x:v>
      </x:c>
      <x:c r="C14" s="30" t="str">
        <x:v>Opening Balances</x:v>
      </x:c>
      <x:c r="D14" s="30" t="str"/>
      <x:c r="E14" s="30" t="str">
        <x:v>000-1200-0000</x:v>
      </x:c>
      <x:c r="F14" s="30" t="str">
        <x:v>Inventory</x:v>
      </x:c>
      <x:c r="G14" s="30" t="str">
        <x:v>DR</x:v>
      </x:c>
      <x:c r="H14" s="33" t="n">
        <x:v>320000</x:v>
      </x:c>
      <x:c r="I14" s="30" t="str">
        <x:v>DEPT=000;PROJ=0000</x:v>
      </x:c>
      <x:c r="J14" s="30" t="str">
        <x:v>Opening inventory</x:v>
      </x:c>
      <x:c r="K14" s="33" t="n">
        <x:f>SUMIFS($H$5:$H$200,$A$5:$A$200,A14,$G$5:$G$200,"DR")-SUMIFS($H$5:$H$200,$A$5:$A$200,A14,$G$5:$G$200,"CR")</x:f>
        <x:v>0</x:v>
      </x:c>
      <x:c r="L14" s="30" t="str">
        <x:f>IF(ABS(K14)&lt;0.01,"Balanced","Check Txn")</x:f>
        <x:v>Balanced</x:v>
      </x:c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  <x:c r="AA14" s="27"/>
      <x:c r="AB14" s="27"/>
    </x:row>
    <x:row r="15">
      <x:c r="A15" s="30" t="str">
        <x:v>OB-GL-001</x:v>
      </x:c>
      <x:c r="B15" s="32" t="str">
        <x:v>2026-06-01</x:v>
      </x:c>
      <x:c r="C15" s="30" t="str">
        <x:v>Opening Balances</x:v>
      </x:c>
      <x:c r="D15" s="30" t="str"/>
      <x:c r="E15" s="30" t="str">
        <x:v>000-1510-0000</x:v>
      </x:c>
      <x:c r="F15" s="30" t="str">
        <x:v>Buildings</x:v>
      </x:c>
      <x:c r="G15" s="30" t="str">
        <x:v>DR</x:v>
      </x:c>
      <x:c r="H15" s="33" t="n">
        <x:v>1250000</x:v>
      </x:c>
      <x:c r="I15" s="30" t="str">
        <x:v>DEPT=000;PROJ=0000</x:v>
      </x:c>
      <x:c r="J15" s="30" t="str">
        <x:v>Opening building cost</x:v>
      </x:c>
      <x:c r="K15" s="33" t="n">
        <x:f>SUMIFS($H$5:$H$200,$A$5:$A$200,A15,$G$5:$G$200,"DR")-SUMIFS($H$5:$H$200,$A$5:$A$200,A15,$G$5:$G$200,"CR")</x:f>
        <x:v>0</x:v>
      </x:c>
      <x:c r="L15" s="30" t="str">
        <x:f>IF(ABS(K15)&lt;0.01,"Balanced","Check Txn")</x:f>
        <x:v>Balanced</x:v>
      </x:c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  <x:c r="AA15" s="27"/>
      <x:c r="AB15" s="27"/>
    </x:row>
    <x:row r="16">
      <x:c r="A16" s="30" t="str">
        <x:v>OB-GL-001</x:v>
      </x:c>
      <x:c r="B16" s="32" t="str">
        <x:v>2026-06-01</x:v>
      </x:c>
      <x:c r="C16" s="30" t="str">
        <x:v>Opening Balances</x:v>
      </x:c>
      <x:c r="D16" s="30" t="str"/>
      <x:c r="E16" s="30" t="str">
        <x:v>000-1520-0000</x:v>
      </x:c>
      <x:c r="F16" s="30" t="str">
        <x:v>Equipment</x:v>
      </x:c>
      <x:c r="G16" s="30" t="str">
        <x:v>DR</x:v>
      </x:c>
      <x:c r="H16" s="33" t="n">
        <x:v>210000</x:v>
      </x:c>
      <x:c r="I16" s="30" t="str">
        <x:v>DEPT=000;PROJ=0000</x:v>
      </x:c>
      <x:c r="J16" s="30" t="str">
        <x:v>Opening equipment cost</x:v>
      </x:c>
      <x:c r="K16" s="33" t="n">
        <x:f>SUMIFS($H$5:$H$200,$A$5:$A$200,A16,$G$5:$G$200,"DR")-SUMIFS($H$5:$H$200,$A$5:$A$200,A16,$G$5:$G$200,"CR")</x:f>
        <x:v>0</x:v>
      </x:c>
      <x:c r="L16" s="30" t="str">
        <x:f>IF(ABS(K16)&lt;0.01,"Balanced","Check Txn")</x:f>
        <x:v>Balanced</x:v>
      </x:c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  <x:c r="AA16" s="27"/>
      <x:c r="AB16" s="27"/>
    </x:row>
    <x:row r="17">
      <x:c r="A17" s="30" t="str">
        <x:v>OB-GL-001</x:v>
      </x:c>
      <x:c r="B17" s="32" t="str">
        <x:v>2026-06-01</x:v>
      </x:c>
      <x:c r="C17" s="30" t="str">
        <x:v>Opening Balances</x:v>
      </x:c>
      <x:c r="D17" s="30" t="str"/>
      <x:c r="E17" s="30" t="str">
        <x:v>000-1530-0000</x:v>
      </x:c>
      <x:c r="F17" s="30" t="str">
        <x:v>Vehicles</x:v>
      </x:c>
      <x:c r="G17" s="30" t="str">
        <x:v>DR</x:v>
      </x:c>
      <x:c r="H17" s="33" t="n">
        <x:v>250000</x:v>
      </x:c>
      <x:c r="I17" s="30" t="str">
        <x:v>DEPT=000;PROJ=0000</x:v>
      </x:c>
      <x:c r="J17" s="30" t="str">
        <x:v>Opening vehicle cost</x:v>
      </x:c>
      <x:c r="K17" s="33" t="n">
        <x:f>SUMIFS($H$5:$H$200,$A$5:$A$200,A17,$G$5:$G$200,"DR")-SUMIFS($H$5:$H$200,$A$5:$A$200,A17,$G$5:$G$200,"CR")</x:f>
        <x:v>0</x:v>
      </x:c>
      <x:c r="L17" s="30" t="str">
        <x:f>IF(ABS(K17)&lt;0.01,"Balanced","Check Txn")</x:f>
        <x:v>Balanced</x:v>
      </x:c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  <x:c r="AA17" s="27"/>
      <x:c r="AB17" s="27"/>
    </x:row>
    <x:row r="18">
      <x:c r="A18" s="30" t="str">
        <x:v>OB-GL-001</x:v>
      </x:c>
      <x:c r="B18" s="32" t="str">
        <x:v>2026-06-01</x:v>
      </x:c>
      <x:c r="C18" s="30" t="str">
        <x:v>Opening Balances</x:v>
      </x:c>
      <x:c r="D18" s="30" t="str"/>
      <x:c r="E18" s="30" t="str">
        <x:v>000-1990-0000</x:v>
      </x:c>
      <x:c r="F18" s="30" t="str">
        <x:v>Migration Clearing Account</x:v>
      </x:c>
      <x:c r="G18" s="30" t="str">
        <x:v>DR</x:v>
      </x:c>
      <x:c r="H18" s="33" t="n">
        <x:v>60000</x:v>
      </x:c>
      <x:c r="I18" s="30" t="str">
        <x:v>DEPT=000;PROJ=0000</x:v>
      </x:c>
      <x:c r="J18" s="30" t="str">
        <x:v>Clear net AR/AP migration clearing</x:v>
      </x:c>
      <x:c r="K18" s="33" t="n">
        <x:f>SUMIFS($H$5:$H$200,$A$5:$A$200,A18,$G$5:$G$200,"DR")-SUMIFS($H$5:$H$200,$A$5:$A$200,A18,$G$5:$G$200,"CR")</x:f>
        <x:v>0</x:v>
      </x:c>
      <x:c r="L18" s="30" t="str">
        <x:f>IF(ABS(K18)&lt;0.01,"Balanced","Check Txn")</x:f>
        <x:v>Balanced</x:v>
      </x:c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  <x:c r="AA18" s="27"/>
      <x:c r="AB18" s="27"/>
    </x:row>
    <x:row r="19">
      <x:c r="A19" s="30" t="str">
        <x:v>OB-GL-001</x:v>
      </x:c>
      <x:c r="B19" s="32" t="str">
        <x:v>2026-06-01</x:v>
      </x:c>
      <x:c r="C19" s="30" t="str">
        <x:v>Opening Balances</x:v>
      </x:c>
      <x:c r="D19" s="30" t="str"/>
      <x:c r="E19" s="30" t="str">
        <x:v>000-1590-0000</x:v>
      </x:c>
      <x:c r="F19" s="30" t="str">
        <x:v>Accumulated Depreciation</x:v>
      </x:c>
      <x:c r="G19" s="30" t="str">
        <x:v>CR</x:v>
      </x:c>
      <x:c r="H19" s="33" t="n">
        <x:v>204333.33</x:v>
      </x:c>
      <x:c r="I19" s="30" t="str">
        <x:v>DEPT=000;PROJ=0000</x:v>
      </x:c>
      <x:c r="J19" s="30" t="str">
        <x:v>Opening accumulated depreciation</x:v>
      </x:c>
      <x:c r="K19" s="33" t="n">
        <x:f>SUMIFS($H$5:$H$200,$A$5:$A$200,A19,$G$5:$G$200,"DR")-SUMIFS($H$5:$H$200,$A$5:$A$200,A19,$G$5:$G$200,"CR")</x:f>
        <x:v>0</x:v>
      </x:c>
      <x:c r="L19" s="30" t="str">
        <x:f>IF(ABS(K19)&lt;0.01,"Balanced","Check Txn")</x:f>
        <x:v>Balanced</x:v>
      </x:c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  <x:c r="AA19" s="27"/>
      <x:c r="AB19" s="27"/>
    </x:row>
    <x:row r="20">
      <x:c r="A20" s="30" t="str">
        <x:v>OB-GL-001</x:v>
      </x:c>
      <x:c r="B20" s="32" t="str">
        <x:v>2026-06-01</x:v>
      </x:c>
      <x:c r="C20" s="30" t="str">
        <x:v>Opening Balances</x:v>
      </x:c>
      <x:c r="D20" s="30" t="str"/>
      <x:c r="E20" s="30" t="str">
        <x:v>000-2100-0000</x:v>
      </x:c>
      <x:c r="F20" s="30" t="str">
        <x:v>Accrued Expenses</x:v>
      </x:c>
      <x:c r="G20" s="30" t="str">
        <x:v>CR</x:v>
      </x:c>
      <x:c r="H20" s="33" t="n">
        <x:v>45000</x:v>
      </x:c>
      <x:c r="I20" s="30" t="str">
        <x:v>DEPT=000;PROJ=0000</x:v>
      </x:c>
      <x:c r="J20" s="30" t="str">
        <x:v>Opening accruals</x:v>
      </x:c>
      <x:c r="K20" s="33" t="n">
        <x:f>SUMIFS($H$5:$H$200,$A$5:$A$200,A20,$G$5:$G$200,"DR")-SUMIFS($H$5:$H$200,$A$5:$A$200,A20,$G$5:$G$200,"CR")</x:f>
        <x:v>0</x:v>
      </x:c>
      <x:c r="L20" s="30" t="str">
        <x:f>IF(ABS(K20)&lt;0.01,"Balanced","Check Txn")</x:f>
        <x:v>Balanced</x:v>
      </x:c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  <x:c r="AA20" s="27"/>
      <x:c r="AB20" s="27"/>
    </x:row>
    <x:row r="21">
      <x:c r="A21" s="30" t="str">
        <x:v>OB-GL-001</x:v>
      </x:c>
      <x:c r="B21" s="32" t="str">
        <x:v>2026-06-01</x:v>
      </x:c>
      <x:c r="C21" s="30" t="str">
        <x:v>Opening Balances</x:v>
      </x:c>
      <x:c r="D21" s="30" t="str"/>
      <x:c r="E21" s="30" t="str">
        <x:v>000-2500-0000</x:v>
      </x:c>
      <x:c r="F21" s="30" t="str">
        <x:v>Long-term Debt</x:v>
      </x:c>
      <x:c r="G21" s="30" t="str">
        <x:v>CR</x:v>
      </x:c>
      <x:c r="H21" s="33" t="n">
        <x:v>500000</x:v>
      </x:c>
      <x:c r="I21" s="30" t="str">
        <x:v>DEPT=000;PROJ=0000</x:v>
      </x:c>
      <x:c r="J21" s="30" t="str">
        <x:v>Opening debt</x:v>
      </x:c>
      <x:c r="K21" s="33" t="n">
        <x:f>SUMIFS($H$5:$H$200,$A$5:$A$200,A21,$G$5:$G$200,"DR")-SUMIFS($H$5:$H$200,$A$5:$A$200,A21,$G$5:$G$200,"CR")</x:f>
        <x:v>0</x:v>
      </x:c>
      <x:c r="L21" s="30" t="str">
        <x:f>IF(ABS(K21)&lt;0.01,"Balanced","Check Txn")</x:f>
        <x:v>Balanced</x:v>
      </x:c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  <x:c r="AA21" s="27"/>
      <x:c r="AB21" s="27"/>
    </x:row>
    <x:row r="22">
      <x:c r="A22" s="30" t="str">
        <x:v>OB-GL-001</x:v>
      </x:c>
      <x:c r="B22" s="32" t="str">
        <x:v>2026-06-01</x:v>
      </x:c>
      <x:c r="C22" s="30" t="str">
        <x:v>Opening Balances</x:v>
      </x:c>
      <x:c r="D22" s="30" t="str"/>
      <x:c r="E22" s="30" t="str">
        <x:v>000-3000-0000</x:v>
      </x:c>
      <x:c r="F22" s="30" t="str">
        <x:v>Share Capital</x:v>
      </x:c>
      <x:c r="G22" s="30" t="str">
        <x:v>CR</x:v>
      </x:c>
      <x:c r="H22" s="33" t="n">
        <x:v>1000000</x:v>
      </x:c>
      <x:c r="I22" s="30" t="str">
        <x:v>DEPT=000;PROJ=0000</x:v>
      </x:c>
      <x:c r="J22" s="30" t="str">
        <x:v>Opening share capital</x:v>
      </x:c>
      <x:c r="K22" s="33" t="n">
        <x:f>SUMIFS($H$5:$H$200,$A$5:$A$200,A22,$G$5:$G$200,"DR")-SUMIFS($H$5:$H$200,$A$5:$A$200,A22,$G$5:$G$200,"CR")</x:f>
        <x:v>0</x:v>
      </x:c>
      <x:c r="L22" s="30" t="str">
        <x:f>IF(ABS(K22)&lt;0.01,"Balanced","Check Txn")</x:f>
        <x:v>Balanced</x:v>
      </x:c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  <x:c r="AA22" s="27"/>
      <x:c r="AB22" s="27"/>
    </x:row>
    <x:row r="23">
      <x:c r="A23" s="30" t="str">
        <x:v>OB-GL-001</x:v>
      </x:c>
      <x:c r="B23" s="32" t="str">
        <x:v>2026-06-01</x:v>
      </x:c>
      <x:c r="C23" s="30" t="str">
        <x:v>Opening Balances</x:v>
      </x:c>
      <x:c r="D23" s="30" t="str"/>
      <x:c r="E23" s="30" t="str">
        <x:v>000-3100-0000</x:v>
      </x:c>
      <x:c r="F23" s="30" t="str">
        <x:v>Retained Earnings</x:v>
      </x:c>
      <x:c r="G23" s="30" t="str">
        <x:v>CR</x:v>
      </x:c>
      <x:c r="H23" s="33" t="n">
        <x:v>690666.67</x:v>
      </x:c>
      <x:c r="I23" s="30" t="str">
        <x:v>DEPT=000;PROJ=0000</x:v>
      </x:c>
      <x:c r="J23" s="30" t="str">
        <x:v>Opening retained earnings</x:v>
      </x:c>
      <x:c r="K23" s="33" t="n">
        <x:f>SUMIFS($H$5:$H$200,$A$5:$A$200,A23,$G$5:$G$200,"DR")-SUMIFS($H$5:$H$200,$A$5:$A$200,A23,$G$5:$G$200,"CR")</x:f>
        <x:v>0</x:v>
      </x:c>
      <x:c r="L23" s="30" t="str">
        <x:f>IF(ABS(K23)&lt;0.01,"Balanced","Check Txn")</x:f>
        <x:v>Balanced</x:v>
      </x:c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  <x:c r="AA23" s="27"/>
      <x:c r="AB23" s="27"/>
    </x:row>
    <x:row r="24">
      <x:c r="A24" s="30" t="str">
        <x:v>AR-INV-001</x:v>
      </x:c>
      <x:c r="B24" s="32" t="str">
        <x:v>2026-06-03</x:v>
      </x:c>
      <x:c r="C24" s="30" t="str">
        <x:v>Accounts Receivable</x:v>
      </x:c>
      <x:c r="D24" s="30" t="str"/>
      <x:c r="E24" s="30" t="str">
        <x:v>000-1100-0000</x:v>
      </x:c>
      <x:c r="F24" s="30" t="str">
        <x:v>Accounts Receivable</x:v>
      </x:c>
      <x:c r="G24" s="30" t="str">
        <x:v>DR</x:v>
      </x:c>
      <x:c r="H24" s="33" t="n">
        <x:v>96000</x:v>
      </x:c>
      <x:c r="I24" s="30" t="str">
        <x:v>DEPT=100;PROJ=P101</x:v>
      </x:c>
      <x:c r="J24" s="30" t="str">
        <x:v>Customer invoice gross</x:v>
      </x:c>
      <x:c r="K24" s="33" t="n">
        <x:f>SUMIFS($H$5:$H$200,$A$5:$A$200,A24,$G$5:$G$200,"DR")-SUMIFS($H$5:$H$200,$A$5:$A$200,A24,$G$5:$G$200,"CR")</x:f>
        <x:v>0</x:v>
      </x:c>
      <x:c r="L24" s="30" t="str">
        <x:f>IF(ABS(K24)&lt;0.01,"Balanced","Check Txn")</x:f>
        <x:v>Balanced</x:v>
      </x:c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  <x:c r="AA24" s="27"/>
      <x:c r="AB24" s="27"/>
    </x:row>
    <x:row r="25">
      <x:c r="A25" s="30" t="str">
        <x:v>AR-INV-001</x:v>
      </x:c>
      <x:c r="B25" s="32" t="str">
        <x:v>2026-06-03</x:v>
      </x:c>
      <x:c r="C25" s="30" t="str">
        <x:v>Accounts Receivable</x:v>
      </x:c>
      <x:c r="D25" s="30" t="str"/>
      <x:c r="E25" s="30" t="str">
        <x:v>000-4100-0000</x:v>
      </x:c>
      <x:c r="F25" s="30" t="str">
        <x:v>Service Revenue</x:v>
      </x:c>
      <x:c r="G25" s="30" t="str">
        <x:v>CR</x:v>
      </x:c>
      <x:c r="H25" s="33" t="n">
        <x:v>80000</x:v>
      </x:c>
      <x:c r="I25" s="30" t="str">
        <x:v>DEPT=100;PROJ=P101</x:v>
      </x:c>
      <x:c r="J25" s="30" t="str">
        <x:v>Service revenue</x:v>
      </x:c>
      <x:c r="K25" s="33" t="n">
        <x:f>SUMIFS($H$5:$H$200,$A$5:$A$200,A25,$G$5:$G$200,"DR")-SUMIFS($H$5:$H$200,$A$5:$A$200,A25,$G$5:$G$200,"CR")</x:f>
        <x:v>0</x:v>
      </x:c>
      <x:c r="L25" s="30" t="str">
        <x:f>IF(ABS(K25)&lt;0.01,"Balanced","Check Txn")</x:f>
        <x:v>Balanced</x:v>
      </x:c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  <x:c r="AA25" s="27"/>
      <x:c r="AB25" s="27"/>
    </x:row>
    <x:row r="26">
      <x:c r="A26" s="30" t="str">
        <x:v>AR-INV-001</x:v>
      </x:c>
      <x:c r="B26" s="32" t="str">
        <x:v>2026-06-03</x:v>
      </x:c>
      <x:c r="C26" s="30" t="str">
        <x:v>Accounts Receivable</x:v>
      </x:c>
      <x:c r="D26" s="30" t="str"/>
      <x:c r="E26" s="30" t="str">
        <x:v>000-2200-0000</x:v>
      </x:c>
      <x:c r="F26" s="30" t="str">
        <x:v>Tax/VAT Control</x:v>
      </x:c>
      <x:c r="G26" s="30" t="str">
        <x:v>CR</x:v>
      </x:c>
      <x:c r="H26" s="33" t="n">
        <x:v>16000</x:v>
      </x:c>
      <x:c r="I26" s="30" t="str">
        <x:v>DEPT=100;PROJ=P101</x:v>
      </x:c>
      <x:c r="J26" s="30" t="str">
        <x:v>Output VAT/levies</x:v>
      </x:c>
      <x:c r="K26" s="33" t="n">
        <x:f>SUMIFS($H$5:$H$200,$A$5:$A$200,A26,$G$5:$G$200,"DR")-SUMIFS($H$5:$H$200,$A$5:$A$200,A26,$G$5:$G$200,"CR")</x:f>
        <x:v>0</x:v>
      </x:c>
      <x:c r="L26" s="30" t="str">
        <x:f>IF(ABS(K26)&lt;0.01,"Balanced","Check Txn")</x:f>
        <x:v>Balanced</x:v>
      </x:c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  <x:c r="AA26" s="27"/>
      <x:c r="AB26" s="27"/>
    </x:row>
    <x:row r="27">
      <x:c r="A27" s="30" t="str">
        <x:v>AR-PMT-001</x:v>
      </x:c>
      <x:c r="B27" s="32" t="str">
        <x:v>2026-06-10</x:v>
      </x:c>
      <x:c r="C27" s="30" t="str">
        <x:v>Accounts Receivable</x:v>
      </x:c>
      <x:c r="D27" s="30" t="str"/>
      <x:c r="E27" s="30" t="str">
        <x:v>000-1000-0000</x:v>
      </x:c>
      <x:c r="F27" s="30" t="str">
        <x:v>Cash and Cash Equivalents</x:v>
      </x:c>
      <x:c r="G27" s="30" t="str">
        <x:v>DR</x:v>
      </x:c>
      <x:c r="H27" s="33" t="n">
        <x:v>50000</x:v>
      </x:c>
      <x:c r="I27" s="30" t="str">
        <x:v>DEPT=100;PROJ=P101</x:v>
      </x:c>
      <x:c r="J27" s="30" t="str">
        <x:v>Customer receipt</x:v>
      </x:c>
      <x:c r="K27" s="33" t="n">
        <x:f>SUMIFS($H$5:$H$200,$A$5:$A$200,A27,$G$5:$G$200,"DR")-SUMIFS($H$5:$H$200,$A$5:$A$200,A27,$G$5:$G$200,"CR")</x:f>
        <x:v>0</x:v>
      </x:c>
      <x:c r="L27" s="30" t="str">
        <x:f>IF(ABS(K27)&lt;0.01,"Balanced","Check Txn")</x:f>
        <x:v>Balanced</x:v>
      </x:c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  <x:c r="AA27" s="27"/>
      <x:c r="AB27" s="27"/>
    </x:row>
    <x:row r="28">
      <x:c r="A28" s="30" t="str">
        <x:v>AR-PMT-001</x:v>
      </x:c>
      <x:c r="B28" s="32" t="str">
        <x:v>2026-06-10</x:v>
      </x:c>
      <x:c r="C28" s="30" t="str">
        <x:v>Accounts Receivable</x:v>
      </x:c>
      <x:c r="D28" s="30" t="str"/>
      <x:c r="E28" s="30" t="str">
        <x:v>000-1100-0000</x:v>
      </x:c>
      <x:c r="F28" s="30" t="str">
        <x:v>Accounts Receivable</x:v>
      </x:c>
      <x:c r="G28" s="30" t="str">
        <x:v>CR</x:v>
      </x:c>
      <x:c r="H28" s="33" t="n">
        <x:v>50000</x:v>
      </x:c>
      <x:c r="I28" s="30" t="str">
        <x:v>DEPT=100;PROJ=P101</x:v>
      </x:c>
      <x:c r="J28" s="30" t="str">
        <x:v>AR allocation</x:v>
      </x:c>
      <x:c r="K28" s="33" t="n">
        <x:f>SUMIFS($H$5:$H$200,$A$5:$A$200,A28,$G$5:$G$200,"DR")-SUMIFS($H$5:$H$200,$A$5:$A$200,A28,$G$5:$G$200,"CR")</x:f>
        <x:v>0</x:v>
      </x:c>
      <x:c r="L28" s="30" t="str">
        <x:f>IF(ABS(K28)&lt;0.01,"Balanced","Check Txn")</x:f>
        <x:v>Balanced</x:v>
      </x:c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  <x:c r="AA28" s="27"/>
      <x:c r="AB28" s="27"/>
    </x:row>
    <x:row r="29">
      <x:c r="A29" s="30" t="str">
        <x:v>AR-CN-001</x:v>
      </x:c>
      <x:c r="B29" s="32" t="str">
        <x:v>2026-06-12</x:v>
      </x:c>
      <x:c r="C29" s="30" t="str">
        <x:v>Accounts Receivable</x:v>
      </x:c>
      <x:c r="D29" s="30" t="str"/>
      <x:c r="E29" s="30" t="str">
        <x:v>000-4100-0000</x:v>
      </x:c>
      <x:c r="F29" s="30" t="str">
        <x:v>Service Revenue</x:v>
      </x:c>
      <x:c r="G29" s="30" t="str">
        <x:v>DR</x:v>
      </x:c>
      <x:c r="H29" s="33" t="n">
        <x:v>5000</x:v>
      </x:c>
      <x:c r="I29" s="30" t="str">
        <x:v>DEPT=100;PROJ=P101</x:v>
      </x:c>
      <x:c r="J29" s="30" t="str">
        <x:v>Revenue credit note</x:v>
      </x:c>
      <x:c r="K29" s="33" t="n">
        <x:f>SUMIFS($H$5:$H$200,$A$5:$A$200,A29,$G$5:$G$200,"DR")-SUMIFS($H$5:$H$200,$A$5:$A$200,A29,$G$5:$G$200,"CR")</x:f>
        <x:v>0</x:v>
      </x:c>
      <x:c r="L29" s="30" t="str">
        <x:f>IF(ABS(K29)&lt;0.01,"Balanced","Check Txn")</x:f>
        <x:v>Balanced</x:v>
      </x:c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  <x:c r="AA29" s="27"/>
      <x:c r="AB29" s="27"/>
    </x:row>
    <x:row r="30">
      <x:c r="A30" s="30" t="str">
        <x:v>AR-CN-001</x:v>
      </x:c>
      <x:c r="B30" s="32" t="str">
        <x:v>2026-06-12</x:v>
      </x:c>
      <x:c r="C30" s="30" t="str">
        <x:v>Accounts Receivable</x:v>
      </x:c>
      <x:c r="D30" s="30" t="str"/>
      <x:c r="E30" s="30" t="str">
        <x:v>000-2200-0000</x:v>
      </x:c>
      <x:c r="F30" s="30" t="str">
        <x:v>Tax/VAT Control</x:v>
      </x:c>
      <x:c r="G30" s="30" t="str">
        <x:v>DR</x:v>
      </x:c>
      <x:c r="H30" s="33" t="n">
        <x:v>1000</x:v>
      </x:c>
      <x:c r="I30" s="30" t="str">
        <x:v>DEPT=100;PROJ=P101</x:v>
      </x:c>
      <x:c r="J30" s="30" t="str">
        <x:v>VAT reversal</x:v>
      </x:c>
      <x:c r="K30" s="33" t="n">
        <x:f>SUMIFS($H$5:$H$200,$A$5:$A$200,A30,$G$5:$G$200,"DR")-SUMIFS($H$5:$H$200,$A$5:$A$200,A30,$G$5:$G$200,"CR")</x:f>
        <x:v>0</x:v>
      </x:c>
      <x:c r="L30" s="30" t="str">
        <x:f>IF(ABS(K30)&lt;0.01,"Balanced","Check Txn")</x:f>
        <x:v>Balanced</x:v>
      </x:c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  <x:c r="AA30" s="27"/>
      <x:c r="AB30" s="27"/>
    </x:row>
    <x:row r="31">
      <x:c r="A31" s="30" t="str">
        <x:v>AR-CN-001</x:v>
      </x:c>
      <x:c r="B31" s="32" t="str">
        <x:v>2026-06-12</x:v>
      </x:c>
      <x:c r="C31" s="30" t="str">
        <x:v>Accounts Receivable</x:v>
      </x:c>
      <x:c r="D31" s="30" t="str"/>
      <x:c r="E31" s="30" t="str">
        <x:v>000-1100-0000</x:v>
      </x:c>
      <x:c r="F31" s="30" t="str">
        <x:v>Accounts Receivable</x:v>
      </x:c>
      <x:c r="G31" s="30" t="str">
        <x:v>CR</x:v>
      </x:c>
      <x:c r="H31" s="33" t="n">
        <x:v>6000</x:v>
      </x:c>
      <x:c r="I31" s="30" t="str">
        <x:v>DEPT=100;PROJ=P101</x:v>
      </x:c>
      <x:c r="J31" s="30" t="str">
        <x:v>AR credit note</x:v>
      </x:c>
      <x:c r="K31" s="33" t="n">
        <x:f>SUMIFS($H$5:$H$200,$A$5:$A$200,A31,$G$5:$G$200,"DR")-SUMIFS($H$5:$H$200,$A$5:$A$200,A31,$G$5:$G$200,"CR")</x:f>
        <x:v>0</x:v>
      </x:c>
      <x:c r="L31" s="30" t="str">
        <x:f>IF(ABS(K31)&lt;0.01,"Balanced","Check Txn")</x:f>
        <x:v>Balanced</x:v>
      </x:c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  <x:c r="AA31" s="27"/>
      <x:c r="AB31" s="27"/>
    </x:row>
    <x:row r="32">
      <x:c r="A32" s="30" t="str">
        <x:v>AR-PMT-002</x:v>
      </x:c>
      <x:c r="B32" s="32" t="str">
        <x:v>2026-06-15</x:v>
      </x:c>
      <x:c r="C32" s="30" t="str">
        <x:v>Accounts Receivable</x:v>
      </x:c>
      <x:c r="D32" s="30" t="str"/>
      <x:c r="E32" s="30" t="str">
        <x:v>000-1000-0000</x:v>
      </x:c>
      <x:c r="F32" s="30" t="str">
        <x:v>Cash and Cash Equivalents</x:v>
      </x:c>
      <x:c r="G32" s="30" t="str">
        <x:v>DR</x:v>
      </x:c>
      <x:c r="H32" s="33" t="n">
        <x:v>34000</x:v>
      </x:c>
      <x:c r="I32" s="30" t="str">
        <x:v>DEPT=100;PROJ=P101</x:v>
      </x:c>
      <x:c r="J32" s="30" t="str">
        <x:v>Net customer cash</x:v>
      </x:c>
      <x:c r="K32" s="33" t="n">
        <x:f>SUMIFS($H$5:$H$200,$A$5:$A$200,A32,$G$5:$G$200,"DR")-SUMIFS($H$5:$H$200,$A$5:$A$200,A32,$G$5:$G$200,"CR")</x:f>
        <x:v>0</x:v>
      </x:c>
      <x:c r="L32" s="30" t="str">
        <x:f>IF(ABS(K32)&lt;0.01,"Balanced","Check Txn")</x:f>
        <x:v>Balanced</x:v>
      </x:c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  <x:c r="AA32" s="27"/>
      <x:c r="AB32" s="27"/>
    </x:row>
    <x:row r="33">
      <x:c r="A33" s="30" t="str">
        <x:v>AR-PMT-002</x:v>
      </x:c>
      <x:c r="B33" s="32" t="str">
        <x:v>2026-06-15</x:v>
      </x:c>
      <x:c r="C33" s="30" t="str">
        <x:v>Accounts Receivable</x:v>
      </x:c>
      <x:c r="D33" s="30" t="str"/>
      <x:c r="E33" s="30" t="str">
        <x:v>000-2200-0000</x:v>
      </x:c>
      <x:c r="F33" s="30" t="str">
        <x:v>Tax/VAT Control</x:v>
      </x:c>
      <x:c r="G33" s="30" t="str">
        <x:v>DR</x:v>
      </x:c>
      <x:c r="H33" s="33" t="n">
        <x:v>6000</x:v>
      </x:c>
      <x:c r="I33" s="30" t="str">
        <x:v>DEPT=100;PROJ=P101</x:v>
      </x:c>
      <x:c r="J33" s="30" t="str">
        <x:v>Customer WHT certificate</x:v>
      </x:c>
      <x:c r="K33" s="33" t="n">
        <x:f>SUMIFS($H$5:$H$200,$A$5:$A$200,A33,$G$5:$G$200,"DR")-SUMIFS($H$5:$H$200,$A$5:$A$200,A33,$G$5:$G$200,"CR")</x:f>
        <x:v>0</x:v>
      </x:c>
      <x:c r="L33" s="30" t="str">
        <x:f>IF(ABS(K33)&lt;0.01,"Balanced","Check Txn")</x:f>
        <x:v>Balanced</x:v>
      </x:c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  <x:c r="AA33" s="27"/>
      <x:c r="AB33" s="27"/>
    </x:row>
    <x:row r="34">
      <x:c r="A34" s="30" t="str">
        <x:v>AR-PMT-002</x:v>
      </x:c>
      <x:c r="B34" s="32" t="str">
        <x:v>2026-06-15</x:v>
      </x:c>
      <x:c r="C34" s="30" t="str">
        <x:v>Accounts Receivable</x:v>
      </x:c>
      <x:c r="D34" s="30" t="str"/>
      <x:c r="E34" s="30" t="str">
        <x:v>000-1100-0000</x:v>
      </x:c>
      <x:c r="F34" s="30" t="str">
        <x:v>Accounts Receivable</x:v>
      </x:c>
      <x:c r="G34" s="30" t="str">
        <x:v>CR</x:v>
      </x:c>
      <x:c r="H34" s="33" t="n">
        <x:v>40000</x:v>
      </x:c>
      <x:c r="I34" s="30" t="str">
        <x:v>DEPT=100;PROJ=P101</x:v>
      </x:c>
      <x:c r="J34" s="30" t="str">
        <x:v>Final AR allocation</x:v>
      </x:c>
      <x:c r="K34" s="33" t="n">
        <x:f>SUMIFS($H$5:$H$200,$A$5:$A$200,A34,$G$5:$G$200,"DR")-SUMIFS($H$5:$H$200,$A$5:$A$200,A34,$G$5:$G$200,"CR")</x:f>
        <x:v>0</x:v>
      </x:c>
      <x:c r="L34" s="30" t="str">
        <x:f>IF(ABS(K34)&lt;0.01,"Balanced","Check Txn")</x:f>
        <x:v>Balanced</x:v>
      </x:c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  <x:c r="AA34" s="27"/>
      <x:c r="AB34" s="27"/>
    </x:row>
    <x:row r="35">
      <x:c r="A35" s="30" t="str">
        <x:v>AR-INV-002</x:v>
      </x:c>
      <x:c r="B35" s="32" t="str">
        <x:v>2026-06-05</x:v>
      </x:c>
      <x:c r="C35" s="30" t="str">
        <x:v>Accounts Receivable</x:v>
      </x:c>
      <x:c r="D35" s="30" t="str"/>
      <x:c r="E35" s="30" t="str">
        <x:v>000-1100-0000</x:v>
      </x:c>
      <x:c r="F35" s="30" t="str">
        <x:v>Accounts Receivable</x:v>
      </x:c>
      <x:c r="G35" s="30" t="str">
        <x:v>DR</x:v>
      </x:c>
      <x:c r="H35" s="33" t="n">
        <x:v>50000</x:v>
      </x:c>
      <x:c r="I35" s="30" t="str">
        <x:v>DEPT=100;PROJ=0000</x:v>
      </x:c>
      <x:c r="J35" s="30" t="str">
        <x:v>USD customer invoice at 12.5</x:v>
      </x:c>
      <x:c r="K35" s="33" t="n">
        <x:f>SUMIFS($H$5:$H$200,$A$5:$A$200,A35,$G$5:$G$200,"DR")-SUMIFS($H$5:$H$200,$A$5:$A$200,A35,$G$5:$G$200,"CR")</x:f>
        <x:v>0</x:v>
      </x:c>
      <x:c r="L35" s="30" t="str">
        <x:f>IF(ABS(K35)&lt;0.01,"Balanced","Check Txn")</x:f>
        <x:v>Balanced</x:v>
      </x:c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  <x:c r="AA35" s="27"/>
      <x:c r="AB35" s="27"/>
    </x:row>
    <x:row r="36">
      <x:c r="A36" s="30" t="str">
        <x:v>AR-INV-002</x:v>
      </x:c>
      <x:c r="B36" s="32" t="str">
        <x:v>2026-06-05</x:v>
      </x:c>
      <x:c r="C36" s="30" t="str">
        <x:v>Accounts Receivable</x:v>
      </x:c>
      <x:c r="D36" s="30" t="str"/>
      <x:c r="E36" s="30" t="str">
        <x:v>000-4100-0000</x:v>
      </x:c>
      <x:c r="F36" s="30" t="str">
        <x:v>Service Revenue</x:v>
      </x:c>
      <x:c r="G36" s="30" t="str">
        <x:v>CR</x:v>
      </x:c>
      <x:c r="H36" s="33" t="n">
        <x:v>50000</x:v>
      </x:c>
      <x:c r="I36" s="30" t="str">
        <x:v>DEPT=100;PROJ=0000</x:v>
      </x:c>
      <x:c r="J36" s="30" t="str">
        <x:v>USD service revenue at invoice rate</x:v>
      </x:c>
      <x:c r="K36" s="33" t="n">
        <x:f>SUMIFS($H$5:$H$200,$A$5:$A$200,A36,$G$5:$G$200,"DR")-SUMIFS($H$5:$H$200,$A$5:$A$200,A36,$G$5:$G$200,"CR")</x:f>
        <x:v>0</x:v>
      </x:c>
      <x:c r="L36" s="30" t="str">
        <x:f>IF(ABS(K36)&lt;0.01,"Balanced","Check Txn")</x:f>
        <x:v>Balanced</x:v>
      </x:c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  <x:c r="AA36" s="27"/>
      <x:c r="AB36" s="27"/>
    </x:row>
    <x:row r="37">
      <x:c r="A37" s="30" t="str">
        <x:v>AR-PMT-USD-001</x:v>
      </x:c>
      <x:c r="B37" s="32" t="str">
        <x:v>2026-06-20</x:v>
      </x:c>
      <x:c r="C37" s="30" t="str">
        <x:v>Accounts Receivable</x:v>
      </x:c>
      <x:c r="D37" s="30" t="str"/>
      <x:c r="E37" s="30" t="str">
        <x:v>000-1000-0000</x:v>
      </x:c>
      <x:c r="F37" s="30" t="str">
        <x:v>Cash and Cash Equivalents</x:v>
      </x:c>
      <x:c r="G37" s="30" t="str">
        <x:v>DR</x:v>
      </x:c>
      <x:c r="H37" s="33" t="n">
        <x:v>52000</x:v>
      </x:c>
      <x:c r="I37" s="30" t="str">
        <x:v>DEPT=100;PROJ=0000</x:v>
      </x:c>
      <x:c r="J37" s="30" t="str">
        <x:v>USD receipt at 13.0</x:v>
      </x:c>
      <x:c r="K37" s="33" t="n">
        <x:f>SUMIFS($H$5:$H$200,$A$5:$A$200,A37,$G$5:$G$200,"DR")-SUMIFS($H$5:$H$200,$A$5:$A$200,A37,$G$5:$G$200,"CR")</x:f>
        <x:v>0</x:v>
      </x:c>
      <x:c r="L37" s="30" t="str">
        <x:f>IF(ABS(K37)&lt;0.01,"Balanced","Check Txn")</x:f>
        <x:v>Balanced</x:v>
      </x:c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  <x:c r="AA37" s="27"/>
      <x:c r="AB37" s="27"/>
    </x:row>
    <x:row r="38">
      <x:c r="A38" s="30" t="str">
        <x:v>AR-PMT-USD-001</x:v>
      </x:c>
      <x:c r="B38" s="32" t="str">
        <x:v>2026-06-20</x:v>
      </x:c>
      <x:c r="C38" s="30" t="str">
        <x:v>Accounts Receivable</x:v>
      </x:c>
      <x:c r="D38" s="30" t="str"/>
      <x:c r="E38" s="30" t="str">
        <x:v>000-1100-0000</x:v>
      </x:c>
      <x:c r="F38" s="30" t="str">
        <x:v>Accounts Receivable</x:v>
      </x:c>
      <x:c r="G38" s="30" t="str">
        <x:v>CR</x:v>
      </x:c>
      <x:c r="H38" s="33" t="n">
        <x:v>50000</x:v>
      </x:c>
      <x:c r="I38" s="30" t="str">
        <x:v>DEPT=100;PROJ=0000</x:v>
      </x:c>
      <x:c r="J38" s="30" t="str">
        <x:v>Clear USD AR at invoice rate</x:v>
      </x:c>
      <x:c r="K38" s="33" t="n">
        <x:f>SUMIFS($H$5:$H$200,$A$5:$A$200,A38,$G$5:$G$200,"DR")-SUMIFS($H$5:$H$200,$A$5:$A$200,A38,$G$5:$G$200,"CR")</x:f>
        <x:v>0</x:v>
      </x:c>
      <x:c r="L38" s="30" t="str">
        <x:f>IF(ABS(K38)&lt;0.01,"Balanced","Check Txn")</x:f>
        <x:v>Balanced</x:v>
      </x:c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  <x:c r="AA38" s="27"/>
      <x:c r="AB38" s="27"/>
    </x:row>
    <x:row r="39">
      <x:c r="A39" s="30" t="str">
        <x:v>AR-PMT-USD-001</x:v>
      </x:c>
      <x:c r="B39" s="32" t="str">
        <x:v>2026-06-20</x:v>
      </x:c>
      <x:c r="C39" s="30" t="str">
        <x:v>Accounts Receivable</x:v>
      </x:c>
      <x:c r="D39" s="30" t="str"/>
      <x:c r="E39" s="30" t="str">
        <x:v>000-7200-0000</x:v>
      </x:c>
      <x:c r="F39" s="30" t="str">
        <x:v>Realized Exchange Gain</x:v>
      </x:c>
      <x:c r="G39" s="30" t="str">
        <x:v>CR</x:v>
      </x:c>
      <x:c r="H39" s="33" t="n">
        <x:v>2000</x:v>
      </x:c>
      <x:c r="I39" s="30" t="str">
        <x:v>DEPT=100;PROJ=0000</x:v>
      </x:c>
      <x:c r="J39" s="30" t="str">
        <x:v>Realized FX gain</x:v>
      </x:c>
      <x:c r="K39" s="33" t="n">
        <x:f>SUMIFS($H$5:$H$200,$A$5:$A$200,A39,$G$5:$G$200,"DR")-SUMIFS($H$5:$H$200,$A$5:$A$200,A39,$G$5:$G$200,"CR")</x:f>
        <x:v>0</x:v>
      </x:c>
      <x:c r="L39" s="30" t="str">
        <x:f>IF(ABS(K39)&lt;0.01,"Balanced","Check Txn")</x:f>
        <x:v>Balanced</x:v>
      </x:c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  <x:c r="AA39" s="27"/>
      <x:c r="AB39" s="27"/>
    </x:row>
    <x:row r="40">
      <x:c r="A40" s="30" t="str">
        <x:v>AP-INV-001</x:v>
      </x:c>
      <x:c r="B40" s="32" t="str">
        <x:v>2026-06-04</x:v>
      </x:c>
      <x:c r="C40" s="30" t="str">
        <x:v>Accounts Payable</x:v>
      </x:c>
      <x:c r="D40" s="30" t="str"/>
      <x:c r="E40" s="30" t="str">
        <x:v>000-6500-0000</x:v>
      </x:c>
      <x:c r="F40" s="30" t="str">
        <x:v>Professional Fees</x:v>
      </x:c>
      <x:c r="G40" s="30" t="str">
        <x:v>DR</x:v>
      </x:c>
      <x:c r="H40" s="33" t="n">
        <x:v>37500</x:v>
      </x:c>
      <x:c r="I40" s="30" t="str">
        <x:v>DEPT=100;PROJ=0000</x:v>
      </x:c>
      <x:c r="J40" s="30" t="str">
        <x:v>USD professional services</x:v>
      </x:c>
      <x:c r="K40" s="33" t="n">
        <x:f>SUMIFS($H$5:$H$200,$A$5:$A$200,A40,$G$5:$G$200,"DR")-SUMIFS($H$5:$H$200,$A$5:$A$200,A40,$G$5:$G$200,"CR")</x:f>
        <x:v>0</x:v>
      </x:c>
      <x:c r="L40" s="30" t="str">
        <x:f>IF(ABS(K40)&lt;0.01,"Balanced","Check Txn")</x:f>
        <x:v>Balanced</x:v>
      </x:c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  <x:c r="AA40" s="27"/>
      <x:c r="AB40" s="27"/>
    </x:row>
    <x:row r="41">
      <x:c r="A41" s="30" t="str">
        <x:v>AP-INV-001</x:v>
      </x:c>
      <x:c r="B41" s="32" t="str">
        <x:v>2026-06-04</x:v>
      </x:c>
      <x:c r="C41" s="30" t="str">
        <x:v>Accounts Payable</x:v>
      </x:c>
      <x:c r="D41" s="30" t="str"/>
      <x:c r="E41" s="30" t="str">
        <x:v>000-2000-0000</x:v>
      </x:c>
      <x:c r="F41" s="30" t="str">
        <x:v>Accounts Payable</x:v>
      </x:c>
      <x:c r="G41" s="30" t="str">
        <x:v>CR</x:v>
      </x:c>
      <x:c r="H41" s="33" t="n">
        <x:v>34687.5</x:v>
      </x:c>
      <x:c r="I41" s="30" t="str">
        <x:v>DEPT=100;PROJ=0000</x:v>
      </x:c>
      <x:c r="J41" s="30" t="str">
        <x:v>AP net of WHT</x:v>
      </x:c>
      <x:c r="K41" s="33" t="n">
        <x:f>SUMIFS($H$5:$H$200,$A$5:$A$200,A41,$G$5:$G$200,"DR")-SUMIFS($H$5:$H$200,$A$5:$A$200,A41,$G$5:$G$200,"CR")</x:f>
        <x:v>0</x:v>
      </x:c>
      <x:c r="L41" s="30" t="str">
        <x:f>IF(ABS(K41)&lt;0.01,"Balanced","Check Txn")</x:f>
        <x:v>Balanced</x:v>
      </x:c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  <x:c r="AA41" s="27"/>
      <x:c r="AB41" s="27"/>
    </x:row>
    <x:row r="42">
      <x:c r="A42" s="30" t="str">
        <x:v>AP-INV-001</x:v>
      </x:c>
      <x:c r="B42" s="32" t="str">
        <x:v>2026-06-04</x:v>
      </x:c>
      <x:c r="C42" s="30" t="str">
        <x:v>Accounts Payable</x:v>
      </x:c>
      <x:c r="D42" s="30" t="str"/>
      <x:c r="E42" s="30" t="str">
        <x:v>000-2200-0000</x:v>
      </x:c>
      <x:c r="F42" s="30" t="str">
        <x:v>Tax/VAT Control</x:v>
      </x:c>
      <x:c r="G42" s="30" t="str">
        <x:v>CR</x:v>
      </x:c>
      <x:c r="H42" s="33" t="n">
        <x:v>2812.5</x:v>
      </x:c>
      <x:c r="I42" s="30" t="str">
        <x:v>DEPT=100;PROJ=0000</x:v>
      </x:c>
      <x:c r="J42" s="30" t="str">
        <x:v>WHT payable</x:v>
      </x:c>
      <x:c r="K42" s="33" t="n">
        <x:f>SUMIFS($H$5:$H$200,$A$5:$A$200,A42,$G$5:$G$200,"DR")-SUMIFS($H$5:$H$200,$A$5:$A$200,A42,$G$5:$G$200,"CR")</x:f>
        <x:v>0</x:v>
      </x:c>
      <x:c r="L42" s="30" t="str">
        <x:f>IF(ABS(K42)&lt;0.01,"Balanced","Check Txn")</x:f>
        <x:v>Balanced</x:v>
      </x:c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  <x:c r="AA42" s="27"/>
      <x:c r="AB42" s="27"/>
    </x:row>
    <x:row r="43">
      <x:c r="A43" s="30" t="str">
        <x:v>AP-PMT-001</x:v>
      </x:c>
      <x:c r="B43" s="32" t="str">
        <x:v>2026-06-18</x:v>
      </x:c>
      <x:c r="C43" s="30" t="str">
        <x:v>Accounts Payable</x:v>
      </x:c>
      <x:c r="D43" s="30" t="str"/>
      <x:c r="E43" s="30" t="str">
        <x:v>000-2000-0000</x:v>
      </x:c>
      <x:c r="F43" s="30" t="str">
        <x:v>Accounts Payable</x:v>
      </x:c>
      <x:c r="G43" s="30" t="str">
        <x:v>DR</x:v>
      </x:c>
      <x:c r="H43" s="33" t="n">
        <x:v>34687.5</x:v>
      </x:c>
      <x:c r="I43" s="30" t="str">
        <x:v>DEPT=100;PROJ=0000</x:v>
      </x:c>
      <x:c r="J43" s="30" t="str">
        <x:v>Clear AP at invoice base</x:v>
      </x:c>
      <x:c r="K43" s="33" t="n">
        <x:f>SUMIFS($H$5:$H$200,$A$5:$A$200,A43,$G$5:$G$200,"DR")-SUMIFS($H$5:$H$200,$A$5:$A$200,A43,$G$5:$G$200,"CR")</x:f>
        <x:v>0</x:v>
      </x:c>
      <x:c r="L43" s="30" t="str">
        <x:f>IF(ABS(K43)&lt;0.01,"Balanced","Check Txn")</x:f>
        <x:v>Balanced</x:v>
      </x:c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  <x:c r="AA43" s="27"/>
      <x:c r="AB43" s="27"/>
    </x:row>
    <x:row r="44">
      <x:c r="A44" s="30" t="str">
        <x:v>AP-PMT-001</x:v>
      </x:c>
      <x:c r="B44" s="32" t="str">
        <x:v>2026-06-18</x:v>
      </x:c>
      <x:c r="C44" s="30" t="str">
        <x:v>Accounts Payable</x:v>
      </x:c>
      <x:c r="D44" s="30" t="str"/>
      <x:c r="E44" s="30" t="str">
        <x:v>000-7210-0000</x:v>
      </x:c>
      <x:c r="F44" s="30" t="str">
        <x:v>Realized Exchange Loss</x:v>
      </x:c>
      <x:c r="G44" s="30" t="str">
        <x:v>DR</x:v>
      </x:c>
      <x:c r="H44" s="33" t="n">
        <x:v>1387.5</x:v>
      </x:c>
      <x:c r="I44" s="30" t="str">
        <x:v>DEPT=100;PROJ=0000</x:v>
      </x:c>
      <x:c r="J44" s="30" t="str">
        <x:v>Realized FX loss</x:v>
      </x:c>
      <x:c r="K44" s="33" t="n">
        <x:f>SUMIFS($H$5:$H$200,$A$5:$A$200,A44,$G$5:$G$200,"DR")-SUMIFS($H$5:$H$200,$A$5:$A$200,A44,$G$5:$G$200,"CR")</x:f>
        <x:v>0</x:v>
      </x:c>
      <x:c r="L44" s="30" t="str">
        <x:f>IF(ABS(K44)&lt;0.01,"Balanced","Check Txn")</x:f>
        <x:v>Balanced</x:v>
      </x:c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  <x:c r="AA44" s="27"/>
      <x:c r="AB44" s="27"/>
    </x:row>
    <x:row r="45">
      <x:c r="A45" s="30" t="str">
        <x:v>AP-PMT-001</x:v>
      </x:c>
      <x:c r="B45" s="32" t="str">
        <x:v>2026-06-18</x:v>
      </x:c>
      <x:c r="C45" s="30" t="str">
        <x:v>Accounts Payable</x:v>
      </x:c>
      <x:c r="D45" s="30" t="str"/>
      <x:c r="E45" s="30" t="str">
        <x:v>000-1000-0000</x:v>
      </x:c>
      <x:c r="F45" s="30" t="str">
        <x:v>Cash and Cash Equivalents</x:v>
      </x:c>
      <x:c r="G45" s="30" t="str">
        <x:v>CR</x:v>
      </x:c>
      <x:c r="H45" s="33" t="n">
        <x:v>36075</x:v>
      </x:c>
      <x:c r="I45" s="30" t="str">
        <x:v>DEPT=100;PROJ=0000</x:v>
      </x:c>
      <x:c r="J45" s="30" t="str">
        <x:v>USD payment at 13.0</x:v>
      </x:c>
      <x:c r="K45" s="33" t="n">
        <x:f>SUMIFS($H$5:$H$200,$A$5:$A$200,A45,$G$5:$G$200,"DR")-SUMIFS($H$5:$H$200,$A$5:$A$200,A45,$G$5:$G$200,"CR")</x:f>
        <x:v>0</x:v>
      </x:c>
      <x:c r="L45" s="30" t="str">
        <x:f>IF(ABS(K45)&lt;0.01,"Balanced","Check Txn")</x:f>
        <x:v>Balanced</x:v>
      </x:c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  <x:c r="AA45" s="27"/>
      <x:c r="AB45" s="27"/>
    </x:row>
    <x:row r="46">
      <x:c r="A46" s="30" t="str">
        <x:v>PO-GRV-001</x:v>
      </x:c>
      <x:c r="B46" s="32" t="str">
        <x:v>2026-06-06</x:v>
      </x:c>
      <x:c r="C46" s="30" t="str">
        <x:v>Finance Purchase Order</x:v>
      </x:c>
      <x:c r="D46" s="30" t="str"/>
      <x:c r="E46" s="30" t="str">
        <x:v>000-1200-0000</x:v>
      </x:c>
      <x:c r="F46" s="30" t="str">
        <x:v>Inventory</x:v>
      </x:c>
      <x:c r="G46" s="30" t="str">
        <x:v>DR</x:v>
      </x:c>
      <x:c r="H46" s="33" t="n">
        <x:v>20000</x:v>
      </x:c>
      <x:c r="I46" s="30" t="str">
        <x:v>DEPT=300;PROJ=P101</x:v>
      </x:c>
      <x:c r="J46" s="30" t="str">
        <x:v>GRV inventory receipt</x:v>
      </x:c>
      <x:c r="K46" s="33" t="n">
        <x:f>SUMIFS($H$5:$H$200,$A$5:$A$200,A46,$G$5:$G$200,"DR")-SUMIFS($H$5:$H$200,$A$5:$A$200,A46,$G$5:$G$200,"CR")</x:f>
        <x:v>0</x:v>
      </x:c>
      <x:c r="L46" s="30" t="str">
        <x:f>IF(ABS(K46)&lt;0.01,"Balanced","Check Txn")</x:f>
        <x:v>Balanced</x:v>
      </x:c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  <x:c r="AA46" s="27"/>
      <x:c r="AB46" s="27"/>
    </x:row>
    <x:row r="47">
      <x:c r="A47" s="30" t="str">
        <x:v>PO-GRV-001</x:v>
      </x:c>
      <x:c r="B47" s="32" t="str">
        <x:v>2026-06-06</x:v>
      </x:c>
      <x:c r="C47" s="30" t="str">
        <x:v>Finance Purchase Order</x:v>
      </x:c>
      <x:c r="D47" s="30" t="str"/>
      <x:c r="E47" s="30" t="str">
        <x:v>000-2100-0000</x:v>
      </x:c>
      <x:c r="F47" s="30" t="str">
        <x:v>Accrued Expenses</x:v>
      </x:c>
      <x:c r="G47" s="30" t="str">
        <x:v>CR</x:v>
      </x:c>
      <x:c r="H47" s="33" t="n">
        <x:v>20000</x:v>
      </x:c>
      <x:c r="I47" s="30" t="str">
        <x:v>DEPT=300;PROJ=P101</x:v>
      </x:c>
      <x:c r="J47" s="30" t="str">
        <x:v>GRV accrual</x:v>
      </x:c>
      <x:c r="K47" s="33" t="n">
        <x:f>SUMIFS($H$5:$H$200,$A$5:$A$200,A47,$G$5:$G$200,"DR")-SUMIFS($H$5:$H$200,$A$5:$A$200,A47,$G$5:$G$200,"CR")</x:f>
        <x:v>0</x:v>
      </x:c>
      <x:c r="L47" s="30" t="str">
        <x:f>IF(ABS(K47)&lt;0.01,"Balanced","Check Txn")</x:f>
        <x:v>Balanced</x:v>
      </x:c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  <x:c r="AA47" s="27"/>
      <x:c r="AB47" s="27"/>
    </x:row>
    <x:row r="48">
      <x:c r="A48" s="30" t="str">
        <x:v>AP-INV-PO-001</x:v>
      </x:c>
      <x:c r="B48" s="32" t="str">
        <x:v>2026-06-07</x:v>
      </x:c>
      <x:c r="C48" s="30" t="str">
        <x:v>Accounts Payable</x:v>
      </x:c>
      <x:c r="D48" s="30" t="str"/>
      <x:c r="E48" s="30" t="str">
        <x:v>000-2100-0000</x:v>
      </x:c>
      <x:c r="F48" s="30" t="str">
        <x:v>Accrued Expenses</x:v>
      </x:c>
      <x:c r="G48" s="30" t="str">
        <x:v>DR</x:v>
      </x:c>
      <x:c r="H48" s="33" t="n">
        <x:v>20000</x:v>
      </x:c>
      <x:c r="I48" s="30" t="str">
        <x:v>DEPT=300;PROJ=P101</x:v>
      </x:c>
      <x:c r="J48" s="30" t="str">
        <x:v>Clear GRV accrual</x:v>
      </x:c>
      <x:c r="K48" s="33" t="n">
        <x:f>SUMIFS($H$5:$H$200,$A$5:$A$200,A48,$G$5:$G$200,"DR")-SUMIFS($H$5:$H$200,$A$5:$A$200,A48,$G$5:$G$200,"CR")</x:f>
        <x:v>0</x:v>
      </x:c>
      <x:c r="L48" s="30" t="str">
        <x:f>IF(ABS(K48)&lt;0.01,"Balanced","Check Txn")</x:f>
        <x:v>Balanced</x:v>
      </x:c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  <x:c r="AA48" s="27"/>
      <x:c r="AB48" s="27"/>
    </x:row>
    <x:row r="49">
      <x:c r="A49" s="30" t="str">
        <x:v>AP-INV-PO-001</x:v>
      </x:c>
      <x:c r="B49" s="32" t="str">
        <x:v>2026-06-07</x:v>
      </x:c>
      <x:c r="C49" s="30" t="str">
        <x:v>Accounts Payable</x:v>
      </x:c>
      <x:c r="D49" s="30" t="str"/>
      <x:c r="E49" s="30" t="str">
        <x:v>000-2200-0000</x:v>
      </x:c>
      <x:c r="F49" s="30" t="str">
        <x:v>Tax/VAT Control</x:v>
      </x:c>
      <x:c r="G49" s="30" t="str">
        <x:v>DR</x:v>
      </x:c>
      <x:c r="H49" s="33" t="n">
        <x:v>4000</x:v>
      </x:c>
      <x:c r="I49" s="30" t="str">
        <x:v>DEPT=300;PROJ=P101</x:v>
      </x:c>
      <x:c r="J49" s="30" t="str">
        <x:v>Input VAT</x:v>
      </x:c>
      <x:c r="K49" s="33" t="n">
        <x:f>SUMIFS($H$5:$H$200,$A$5:$A$200,A49,$G$5:$G$200,"DR")-SUMIFS($H$5:$H$200,$A$5:$A$200,A49,$G$5:$G$200,"CR")</x:f>
        <x:v>0</x:v>
      </x:c>
      <x:c r="L49" s="30" t="str">
        <x:f>IF(ABS(K49)&lt;0.01,"Balanced","Check Txn")</x:f>
        <x:v>Balanced</x:v>
      </x:c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  <x:c r="AA49" s="27"/>
      <x:c r="AB49" s="27"/>
    </x:row>
    <x:row r="50">
      <x:c r="A50" s="30" t="str">
        <x:v>AP-INV-PO-001</x:v>
      </x:c>
      <x:c r="B50" s="32" t="str">
        <x:v>2026-06-07</x:v>
      </x:c>
      <x:c r="C50" s="30" t="str">
        <x:v>Accounts Payable</x:v>
      </x:c>
      <x:c r="D50" s="30" t="str"/>
      <x:c r="E50" s="30" t="str">
        <x:v>000-2000-0000</x:v>
      </x:c>
      <x:c r="F50" s="30" t="str">
        <x:v>Accounts Payable</x:v>
      </x:c>
      <x:c r="G50" s="30" t="str">
        <x:v>CR</x:v>
      </x:c>
      <x:c r="H50" s="33" t="n">
        <x:v>24000</x:v>
      </x:c>
      <x:c r="I50" s="30" t="str">
        <x:v>DEPT=300;PROJ=P101</x:v>
      </x:c>
      <x:c r="J50" s="30" t="str">
        <x:v>AP gross invoice</x:v>
      </x:c>
      <x:c r="K50" s="33" t="n">
        <x:f>SUMIFS($H$5:$H$200,$A$5:$A$200,A50,$G$5:$G$200,"DR")-SUMIFS($H$5:$H$200,$A$5:$A$200,A50,$G$5:$G$200,"CR")</x:f>
        <x:v>0</x:v>
      </x:c>
      <x:c r="L50" s="30" t="str">
        <x:f>IF(ABS(K50)&lt;0.01,"Balanced","Check Txn")</x:f>
        <x:v>Balanced</x:v>
      </x:c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  <x:c r="AA50" s="27"/>
      <x:c r="AB50" s="27"/>
    </x:row>
    <x:row r="51">
      <x:c r="A51" s="30" t="str">
        <x:v>AP-PMT-PO-001</x:v>
      </x:c>
      <x:c r="B51" s="32" t="str">
        <x:v>2026-06-25</x:v>
      </x:c>
      <x:c r="C51" s="30" t="str">
        <x:v>Accounts Payable</x:v>
      </x:c>
      <x:c r="D51" s="30" t="str"/>
      <x:c r="E51" s="30" t="str">
        <x:v>000-2000-0000</x:v>
      </x:c>
      <x:c r="F51" s="30" t="str">
        <x:v>Accounts Payable</x:v>
      </x:c>
      <x:c r="G51" s="30" t="str">
        <x:v>DR</x:v>
      </x:c>
      <x:c r="H51" s="33" t="n">
        <x:v>24000</x:v>
      </x:c>
      <x:c r="I51" s="30" t="str">
        <x:v>DEPT=300;PROJ=P101</x:v>
      </x:c>
      <x:c r="J51" s="30" t="str">
        <x:v>Clear AP</x:v>
      </x:c>
      <x:c r="K51" s="33" t="n">
        <x:f>SUMIFS($H$5:$H$200,$A$5:$A$200,A51,$G$5:$G$200,"DR")-SUMIFS($H$5:$H$200,$A$5:$A$200,A51,$G$5:$G$200,"CR")</x:f>
        <x:v>0</x:v>
      </x:c>
      <x:c r="L51" s="30" t="str">
        <x:f>IF(ABS(K51)&lt;0.01,"Balanced","Check Txn")</x:f>
        <x:v>Balanced</x:v>
      </x:c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  <x:c r="AA51" s="27"/>
      <x:c r="AB51" s="27"/>
    </x:row>
    <x:row r="52">
      <x:c r="A52" s="30" t="str">
        <x:v>AP-PMT-PO-001</x:v>
      </x:c>
      <x:c r="B52" s="32" t="str">
        <x:v>2026-06-25</x:v>
      </x:c>
      <x:c r="C52" s="30" t="str">
        <x:v>Accounts Payable</x:v>
      </x:c>
      <x:c r="D52" s="30" t="str"/>
      <x:c r="E52" s="30" t="str">
        <x:v>000-1000-0000</x:v>
      </x:c>
      <x:c r="F52" s="30" t="str">
        <x:v>Cash and Cash Equivalents</x:v>
      </x:c>
      <x:c r="G52" s="30" t="str">
        <x:v>CR</x:v>
      </x:c>
      <x:c r="H52" s="33" t="n">
        <x:v>24000</x:v>
      </x:c>
      <x:c r="I52" s="30" t="str">
        <x:v>DEPT=300;PROJ=P101</x:v>
      </x:c>
      <x:c r="J52" s="30" t="str">
        <x:v>Supplier payment</x:v>
      </x:c>
      <x:c r="K52" s="33" t="n">
        <x:f>SUMIFS($H$5:$H$200,$A$5:$A$200,A52,$G$5:$G$200,"DR")-SUMIFS($H$5:$H$200,$A$5:$A$200,A52,$G$5:$G$200,"CR")</x:f>
        <x:v>0</x:v>
      </x:c>
      <x:c r="L52" s="30" t="str">
        <x:f>IF(ABS(K52)&lt;0.01,"Balanced","Check Txn")</x:f>
        <x:v>Balanced</x:v>
      </x:c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  <x:c r="AA52" s="27"/>
      <x:c r="AB52" s="27"/>
    </x:row>
    <x:row r="53">
      <x:c r="A53" s="30" t="str">
        <x:v>AP-INV-002</x:v>
      </x:c>
      <x:c r="B53" s="32" t="str">
        <x:v>2026-06-11</x:v>
      </x:c>
      <x:c r="C53" s="30" t="str">
        <x:v>Accounts Payable</x:v>
      </x:c>
      <x:c r="D53" s="30" t="str"/>
      <x:c r="E53" s="30" t="str">
        <x:v>000-6200-0000</x:v>
      </x:c>
      <x:c r="F53" s="30" t="str">
        <x:v>Utilities Expense</x:v>
      </x:c>
      <x:c r="G53" s="30" t="str">
        <x:v>DR</x:v>
      </x:c>
      <x:c r="H53" s="33" t="n">
        <x:v>12000</x:v>
      </x:c>
      <x:c r="I53" s="30" t="str">
        <x:v>DEPT=200;PROJ=0000</x:v>
      </x:c>
      <x:c r="J53" s="30" t="str">
        <x:v>Utilities expense</x:v>
      </x:c>
      <x:c r="K53" s="33" t="n">
        <x:f>SUMIFS($H$5:$H$200,$A$5:$A$200,A53,$G$5:$G$200,"DR")-SUMIFS($H$5:$H$200,$A$5:$A$200,A53,$G$5:$G$200,"CR")</x:f>
        <x:v>0</x:v>
      </x:c>
      <x:c r="L53" s="30" t="str">
        <x:f>IF(ABS(K53)&lt;0.01,"Balanced","Check Txn")</x:f>
        <x:v>Balanced</x:v>
      </x:c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  <x:c r="AA53" s="27"/>
      <x:c r="AB53" s="27"/>
    </x:row>
    <x:row r="54">
      <x:c r="A54" s="30" t="str">
        <x:v>AP-INV-002</x:v>
      </x:c>
      <x:c r="B54" s="32" t="str">
        <x:v>2026-06-11</x:v>
      </x:c>
      <x:c r="C54" s="30" t="str">
        <x:v>Accounts Payable</x:v>
      </x:c>
      <x:c r="D54" s="30" t="str"/>
      <x:c r="E54" s="30" t="str">
        <x:v>000-2200-0000</x:v>
      </x:c>
      <x:c r="F54" s="30" t="str">
        <x:v>Tax/VAT Control</x:v>
      </x:c>
      <x:c r="G54" s="30" t="str">
        <x:v>DR</x:v>
      </x:c>
      <x:c r="H54" s="33" t="n">
        <x:v>2400</x:v>
      </x:c>
      <x:c r="I54" s="30" t="str">
        <x:v>DEPT=200;PROJ=0000</x:v>
      </x:c>
      <x:c r="J54" s="30" t="str">
        <x:v>Input VAT</x:v>
      </x:c>
      <x:c r="K54" s="33" t="n">
        <x:f>SUMIFS($H$5:$H$200,$A$5:$A$200,A54,$G$5:$G$200,"DR")-SUMIFS($H$5:$H$200,$A$5:$A$200,A54,$G$5:$G$200,"CR")</x:f>
        <x:v>0</x:v>
      </x:c>
      <x:c r="L54" s="30" t="str">
        <x:f>IF(ABS(K54)&lt;0.01,"Balanced","Check Txn")</x:f>
        <x:v>Balanced</x:v>
      </x:c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  <x:c r="AA54" s="27"/>
      <x:c r="AB54" s="27"/>
    </x:row>
    <x:row r="55">
      <x:c r="A55" s="30" t="str">
        <x:v>AP-INV-002</x:v>
      </x:c>
      <x:c r="B55" s="32" t="str">
        <x:v>2026-06-11</x:v>
      </x:c>
      <x:c r="C55" s="30" t="str">
        <x:v>Accounts Payable</x:v>
      </x:c>
      <x:c r="D55" s="30" t="str"/>
      <x:c r="E55" s="30" t="str">
        <x:v>000-2000-0000</x:v>
      </x:c>
      <x:c r="F55" s="30" t="str">
        <x:v>Accounts Payable</x:v>
      </x:c>
      <x:c r="G55" s="30" t="str">
        <x:v>CR</x:v>
      </x:c>
      <x:c r="H55" s="33" t="n">
        <x:v>14400</x:v>
      </x:c>
      <x:c r="I55" s="30" t="str">
        <x:v>DEPT=200;PROJ=0000</x:v>
      </x:c>
      <x:c r="J55" s="30" t="str">
        <x:v>AP gross invoice</x:v>
      </x:c>
      <x:c r="K55" s="33" t="n">
        <x:f>SUMIFS($H$5:$H$200,$A$5:$A$200,A55,$G$5:$G$200,"DR")-SUMIFS($H$5:$H$200,$A$5:$A$200,A55,$G$5:$G$200,"CR")</x:f>
        <x:v>0</x:v>
      </x:c>
      <x:c r="L55" s="30" t="str">
        <x:f>IF(ABS(K55)&lt;0.01,"Balanced","Check Txn")</x:f>
        <x:v>Balanced</x:v>
      </x:c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  <x:c r="AA55" s="27"/>
      <x:c r="AB55" s="27"/>
    </x:row>
    <x:row r="56">
      <x:c r="A56" s="30" t="str">
        <x:v>AP-INV-003</x:v>
      </x:c>
      <x:c r="B56" s="32" t="str">
        <x:v>2026-06-13</x:v>
      </x:c>
      <x:c r="C56" s="30" t="str">
        <x:v>Accounts Payable</x:v>
      </x:c>
      <x:c r="D56" s="30" t="str"/>
      <x:c r="E56" s="30" t="str">
        <x:v>000-6500-0000</x:v>
      </x:c>
      <x:c r="F56" s="30" t="str">
        <x:v>Professional Fees</x:v>
      </x:c>
      <x:c r="G56" s="30" t="str">
        <x:v>DR</x:v>
      </x:c>
      <x:c r="H56" s="33" t="n">
        <x:v>25000</x:v>
      </x:c>
      <x:c r="I56" s="30" t="str">
        <x:v>DEPT=100;PROJ=0000</x:v>
      </x:c>
      <x:c r="J56" s="30" t="str">
        <x:v>Professional advisory fee</x:v>
      </x:c>
      <x:c r="K56" s="33" t="n">
        <x:f>SUMIFS($H$5:$H$200,$A$5:$A$200,A56,$G$5:$G$200,"DR")-SUMIFS($H$5:$H$200,$A$5:$A$200,A56,$G$5:$G$200,"CR")</x:f>
        <x:v>0</x:v>
      </x:c>
      <x:c r="L56" s="30" t="str">
        <x:f>IF(ABS(K56)&lt;0.01,"Balanced","Check Txn")</x:f>
        <x:v>Balanced</x:v>
      </x:c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  <x:c r="AA56" s="27"/>
      <x:c r="AB56" s="27"/>
    </x:row>
    <x:row r="57">
      <x:c r="A57" s="30" t="str">
        <x:v>AP-INV-003</x:v>
      </x:c>
      <x:c r="B57" s="32" t="str">
        <x:v>2026-06-13</x:v>
      </x:c>
      <x:c r="C57" s="30" t="str">
        <x:v>Accounts Payable</x:v>
      </x:c>
      <x:c r="D57" s="30" t="str"/>
      <x:c r="E57" s="30" t="str">
        <x:v>000-2000-0000</x:v>
      </x:c>
      <x:c r="F57" s="30" t="str">
        <x:v>Accounts Payable</x:v>
      </x:c>
      <x:c r="G57" s="30" t="str">
        <x:v>CR</x:v>
      </x:c>
      <x:c r="H57" s="33" t="n">
        <x:v>23125</x:v>
      </x:c>
      <x:c r="I57" s="30" t="str">
        <x:v>DEPT=100;PROJ=0000</x:v>
      </x:c>
      <x:c r="J57" s="30" t="str">
        <x:v>AP net of WHT</x:v>
      </x:c>
      <x:c r="K57" s="33" t="n">
        <x:f>SUMIFS($H$5:$H$200,$A$5:$A$200,A57,$G$5:$G$200,"DR")-SUMIFS($H$5:$H$200,$A$5:$A$200,A57,$G$5:$G$200,"CR")</x:f>
        <x:v>0</x:v>
      </x:c>
      <x:c r="L57" s="30" t="str">
        <x:f>IF(ABS(K57)&lt;0.01,"Balanced","Check Txn")</x:f>
        <x:v>Balanced</x:v>
      </x:c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  <x:c r="AA57" s="27"/>
      <x:c r="AB57" s="27"/>
    </x:row>
    <x:row r="58">
      <x:c r="A58" s="30" t="str">
        <x:v>AP-INV-003</x:v>
      </x:c>
      <x:c r="B58" s="32" t="str">
        <x:v>2026-06-13</x:v>
      </x:c>
      <x:c r="C58" s="30" t="str">
        <x:v>Accounts Payable</x:v>
      </x:c>
      <x:c r="D58" s="30" t="str"/>
      <x:c r="E58" s="30" t="str">
        <x:v>000-2200-0000</x:v>
      </x:c>
      <x:c r="F58" s="30" t="str">
        <x:v>Tax/VAT Control</x:v>
      </x:c>
      <x:c r="G58" s="30" t="str">
        <x:v>CR</x:v>
      </x:c>
      <x:c r="H58" s="33" t="n">
        <x:v>1875</x:v>
      </x:c>
      <x:c r="I58" s="30" t="str">
        <x:v>DEPT=100;PROJ=0000</x:v>
      </x:c>
      <x:c r="J58" s="30" t="str">
        <x:v>WHT payable</x:v>
      </x:c>
      <x:c r="K58" s="33" t="n">
        <x:f>SUMIFS($H$5:$H$200,$A$5:$A$200,A58,$G$5:$G$200,"DR")-SUMIFS($H$5:$H$200,$A$5:$A$200,A58,$G$5:$G$200,"CR")</x:f>
        <x:v>0</x:v>
      </x:c>
      <x:c r="L58" s="30" t="str">
        <x:f>IF(ABS(K58)&lt;0.01,"Balanced","Check Txn")</x:f>
        <x:v>Balanced</x:v>
      </x:c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  <x:c r="AA58" s="27"/>
      <x:c r="AB58" s="27"/>
    </x:row>
    <x:row r="59">
      <x:c r="A59" s="30" t="str">
        <x:v>AP-PMT-003</x:v>
      </x:c>
      <x:c r="B59" s="32" t="str">
        <x:v>2026-06-20</x:v>
      </x:c>
      <x:c r="C59" s="30" t="str">
        <x:v>Accounts Payable</x:v>
      </x:c>
      <x:c r="D59" s="30" t="str"/>
      <x:c r="E59" s="30" t="str">
        <x:v>000-2000-0000</x:v>
      </x:c>
      <x:c r="F59" s="30" t="str">
        <x:v>Accounts Payable</x:v>
      </x:c>
      <x:c r="G59" s="30" t="str">
        <x:v>DR</x:v>
      </x:c>
      <x:c r="H59" s="33" t="n">
        <x:v>23125</x:v>
      </x:c>
      <x:c r="I59" s="30" t="str">
        <x:v>DEPT=100;PROJ=0000</x:v>
      </x:c>
      <x:c r="J59" s="30" t="str">
        <x:v>Clear AP before discount</x:v>
      </x:c>
      <x:c r="K59" s="33" t="n">
        <x:f>SUMIFS($H$5:$H$200,$A$5:$A$200,A59,$G$5:$G$200,"DR")-SUMIFS($H$5:$H$200,$A$5:$A$200,A59,$G$5:$G$200,"CR")</x:f>
        <x:v>0</x:v>
      </x:c>
      <x:c r="L59" s="30" t="str">
        <x:f>IF(ABS(K59)&lt;0.01,"Balanced","Check Txn")</x:f>
        <x:v>Balanced</x:v>
      </x:c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  <x:c r="AA59" s="27"/>
      <x:c r="AB59" s="27"/>
    </x:row>
    <x:row r="60">
      <x:c r="A60" s="30" t="str">
        <x:v>AP-PMT-003</x:v>
      </x:c>
      <x:c r="B60" s="32" t="str">
        <x:v>2026-06-20</x:v>
      </x:c>
      <x:c r="C60" s="30" t="str">
        <x:v>Accounts Payable</x:v>
      </x:c>
      <x:c r="D60" s="30" t="str"/>
      <x:c r="E60" s="30" t="str">
        <x:v>000-1000-0000</x:v>
      </x:c>
      <x:c r="F60" s="30" t="str">
        <x:v>Cash and Cash Equivalents</x:v>
      </x:c>
      <x:c r="G60" s="30" t="str">
        <x:v>CR</x:v>
      </x:c>
      <x:c r="H60" s="33" t="n">
        <x:v>22625</x:v>
      </x:c>
      <x:c r="I60" s="30" t="str">
        <x:v>DEPT=100;PROJ=0000</x:v>
      </x:c>
      <x:c r="J60" s="30" t="str">
        <x:v>Early settlement cash</x:v>
      </x:c>
      <x:c r="K60" s="33" t="n">
        <x:f>SUMIFS($H$5:$H$200,$A$5:$A$200,A60,$G$5:$G$200,"DR")-SUMIFS($H$5:$H$200,$A$5:$A$200,A60,$G$5:$G$200,"CR")</x:f>
        <x:v>0</x:v>
      </x:c>
      <x:c r="L60" s="30" t="str">
        <x:f>IF(ABS(K60)&lt;0.01,"Balanced","Check Txn")</x:f>
        <x:v>Balanced</x:v>
      </x:c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  <x:c r="AA60" s="27"/>
      <x:c r="AB60" s="27"/>
    </x:row>
    <x:row r="61">
      <x:c r="A61" s="30" t="str">
        <x:v>AP-PMT-003</x:v>
      </x:c>
      <x:c r="B61" s="32" t="str">
        <x:v>2026-06-20</x:v>
      </x:c>
      <x:c r="C61" s="30" t="str">
        <x:v>Accounts Payable</x:v>
      </x:c>
      <x:c r="D61" s="30" t="str"/>
      <x:c r="E61" s="30" t="str">
        <x:v>000-4910-0000</x:v>
      </x:c>
      <x:c r="F61" s="30" t="str">
        <x:v>Purchase Discounts Received</x:v>
      </x:c>
      <x:c r="G61" s="30" t="str">
        <x:v>CR</x:v>
      </x:c>
      <x:c r="H61" s="33" t="n">
        <x:v>500</x:v>
      </x:c>
      <x:c r="I61" s="30" t="str">
        <x:v>DEPT=100;PROJ=0000</x:v>
      </x:c>
      <x:c r="J61" s="30" t="str">
        <x:v>Purchase discount received</x:v>
      </x:c>
      <x:c r="K61" s="33" t="n">
        <x:f>SUMIFS($H$5:$H$200,$A$5:$A$200,A61,$G$5:$G$200,"DR")-SUMIFS($H$5:$H$200,$A$5:$A$200,A61,$G$5:$G$200,"CR")</x:f>
        <x:v>0</x:v>
      </x:c>
      <x:c r="L61" s="30" t="str">
        <x:f>IF(ABS(K61)&lt;0.01,"Balanced","Check Txn")</x:f>
        <x:v>Balanced</x:v>
      </x:c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  <x:c r="AA61" s="27"/>
      <x:c r="AB61" s="27"/>
    </x:row>
    <x:row r="62">
      <x:c r="A62" s="30" t="str">
        <x:v>BANK-TRF-001</x:v>
      </x:c>
      <x:c r="B62" s="32" t="str">
        <x:v>2026-06-21</x:v>
      </x:c>
      <x:c r="C62" s="30" t="str">
        <x:v>Cash Management</x:v>
      </x:c>
      <x:c r="D62" s="30" t="str"/>
      <x:c r="E62" s="30" t="str">
        <x:v>000-1010-0000</x:v>
      </x:c>
      <x:c r="F62" s="30" t="str">
        <x:v>Cash and Bank - Payroll Clearing</x:v>
      </x:c>
      <x:c r="G62" s="30" t="str">
        <x:v>DR</x:v>
      </x:c>
      <x:c r="H62" s="33" t="n">
        <x:v>20000</x:v>
      </x:c>
      <x:c r="I62" s="30" t="str">
        <x:v>DEPT=100;PROJ=0000</x:v>
      </x:c>
      <x:c r="J62" s="30" t="str">
        <x:v>Transfer to payroll clearing</x:v>
      </x:c>
      <x:c r="K62" s="33" t="n">
        <x:f>SUMIFS($H$5:$H$200,$A$5:$A$200,A62,$G$5:$G$200,"DR")-SUMIFS($H$5:$H$200,$A$5:$A$200,A62,$G$5:$G$200,"CR")</x:f>
        <x:v>0</x:v>
      </x:c>
      <x:c r="L62" s="30" t="str">
        <x:f>IF(ABS(K62)&lt;0.01,"Balanced","Check Txn")</x:f>
        <x:v>Balanced</x:v>
      </x:c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  <x:c r="AA62" s="27"/>
      <x:c r="AB62" s="27"/>
    </x:row>
    <x:row r="63">
      <x:c r="A63" s="30" t="str">
        <x:v>BANK-TRF-001</x:v>
      </x:c>
      <x:c r="B63" s="32" t="str">
        <x:v>2026-06-21</x:v>
      </x:c>
      <x:c r="C63" s="30" t="str">
        <x:v>Cash Management</x:v>
      </x:c>
      <x:c r="D63" s="30" t="str"/>
      <x:c r="E63" s="30" t="str">
        <x:v>000-1000-0000</x:v>
      </x:c>
      <x:c r="F63" s="30" t="str">
        <x:v>Cash and Cash Equivalents</x:v>
      </x:c>
      <x:c r="G63" s="30" t="str">
        <x:v>CR</x:v>
      </x:c>
      <x:c r="H63" s="33" t="n">
        <x:v>20000</x:v>
      </x:c>
      <x:c r="I63" s="30" t="str">
        <x:v>DEPT=100;PROJ=0000</x:v>
      </x:c>
      <x:c r="J63" s="30" t="str">
        <x:v>Transfer from operating cash</x:v>
      </x:c>
      <x:c r="K63" s="33" t="n">
        <x:f>SUMIFS($H$5:$H$200,$A$5:$A$200,A63,$G$5:$G$200,"DR")-SUMIFS($H$5:$H$200,$A$5:$A$200,A63,$G$5:$G$200,"CR")</x:f>
        <x:v>0</x:v>
      </x:c>
      <x:c r="L63" s="30" t="str">
        <x:f>IF(ABS(K63)&lt;0.01,"Balanced","Check Txn")</x:f>
        <x:v>Balanced</x:v>
      </x:c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  <x:c r="AA63" s="27"/>
      <x:c r="AB63" s="27"/>
    </x:row>
    <x:row r="64">
      <x:c r="A64" s="30" t="str">
        <x:v>BANK-REC-001</x:v>
      </x:c>
      <x:c r="B64" s="32" t="str">
        <x:v>2026-06-22</x:v>
      </x:c>
      <x:c r="C64" s="30" t="str">
        <x:v>Cash Management</x:v>
      </x:c>
      <x:c r="D64" s="30" t="str"/>
      <x:c r="E64" s="30" t="str">
        <x:v>000-6500-0000</x:v>
      </x:c>
      <x:c r="F64" s="30" t="str">
        <x:v>Professional Fees</x:v>
      </x:c>
      <x:c r="G64" s="30" t="str">
        <x:v>DR</x:v>
      </x:c>
      <x:c r="H64" s="33" t="n">
        <x:v>750</x:v>
      </x:c>
      <x:c r="I64" s="30" t="str">
        <x:v>DEPT=100;PROJ=0000</x:v>
      </x:c>
      <x:c r="J64" s="30" t="str">
        <x:v>Bank charge</x:v>
      </x:c>
      <x:c r="K64" s="33" t="n">
        <x:f>SUMIFS($H$5:$H$200,$A$5:$A$200,A64,$G$5:$G$200,"DR")-SUMIFS($H$5:$H$200,$A$5:$A$200,A64,$G$5:$G$200,"CR")</x:f>
        <x:v>0</x:v>
      </x:c>
      <x:c r="L64" s="30" t="str">
        <x:f>IF(ABS(K64)&lt;0.01,"Balanced","Check Txn")</x:f>
        <x:v>Balanced</x:v>
      </x:c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  <x:c r="AA64" s="27"/>
      <x:c r="AB64" s="27"/>
    </x:row>
    <x:row r="65">
      <x:c r="A65" s="30" t="str">
        <x:v>BANK-REC-001</x:v>
      </x:c>
      <x:c r="B65" s="32" t="str">
        <x:v>2026-06-22</x:v>
      </x:c>
      <x:c r="C65" s="30" t="str">
        <x:v>Cash Management</x:v>
      </x:c>
      <x:c r="D65" s="30" t="str"/>
      <x:c r="E65" s="30" t="str">
        <x:v>000-1000-0000</x:v>
      </x:c>
      <x:c r="F65" s="30" t="str">
        <x:v>Cash and Cash Equivalents</x:v>
      </x:c>
      <x:c r="G65" s="30" t="str">
        <x:v>CR</x:v>
      </x:c>
      <x:c r="H65" s="33" t="n">
        <x:v>750</x:v>
      </x:c>
      <x:c r="I65" s="30" t="str">
        <x:v>DEPT=100;PROJ=0000</x:v>
      </x:c>
      <x:c r="J65" s="30" t="str">
        <x:v>Cash decrease</x:v>
      </x:c>
      <x:c r="K65" s="33" t="n">
        <x:f>SUMIFS($H$5:$H$200,$A$5:$A$200,A65,$G$5:$G$200,"DR")-SUMIFS($H$5:$H$200,$A$5:$A$200,A65,$G$5:$G$200,"CR")</x:f>
        <x:v>0</x:v>
      </x:c>
      <x:c r="L65" s="30" t="str">
        <x:f>IF(ABS(K65)&lt;0.01,"Balanced","Check Txn")</x:f>
        <x:v>Balanced</x:v>
      </x:c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  <x:c r="AA65" s="27"/>
      <x:c r="AB65" s="27"/>
    </x:row>
    <x:row r="66">
      <x:c r="A66" s="30" t="str">
        <x:v>BANK-REC-002</x:v>
      </x:c>
      <x:c r="B66" s="32" t="str">
        <x:v>2026-06-22</x:v>
      </x:c>
      <x:c r="C66" s="30" t="str">
        <x:v>Cash Management</x:v>
      </x:c>
      <x:c r="D66" s="30" t="str"/>
      <x:c r="E66" s="30" t="str">
        <x:v>000-1000-0000</x:v>
      </x:c>
      <x:c r="F66" s="30" t="str">
        <x:v>Cash and Cash Equivalents</x:v>
      </x:c>
      <x:c r="G66" s="30" t="str">
        <x:v>DR</x:v>
      </x:c>
      <x:c r="H66" s="33" t="n">
        <x:v>500</x:v>
      </x:c>
      <x:c r="I66" s="30" t="str">
        <x:v>DEPT=100;PROJ=0000</x:v>
      </x:c>
      <x:c r="J66" s="30" t="str">
        <x:v>Bank interest cash</x:v>
      </x:c>
      <x:c r="K66" s="33" t="n">
        <x:f>SUMIFS($H$5:$H$200,$A$5:$A$200,A66,$G$5:$G$200,"DR")-SUMIFS($H$5:$H$200,$A$5:$A$200,A66,$G$5:$G$200,"CR")</x:f>
        <x:v>0</x:v>
      </x:c>
      <x:c r="L66" s="30" t="str">
        <x:f>IF(ABS(K66)&lt;0.01,"Balanced","Check Txn")</x:f>
        <x:v>Balanced</x:v>
      </x:c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  <x:c r="AA66" s="27"/>
      <x:c r="AB66" s="27"/>
    </x:row>
    <x:row r="67">
      <x:c r="A67" s="30" t="str">
        <x:v>BANK-REC-002</x:v>
      </x:c>
      <x:c r="B67" s="32" t="str">
        <x:v>2026-06-22</x:v>
      </x:c>
      <x:c r="C67" s="30" t="str">
        <x:v>Cash Management</x:v>
      </x:c>
      <x:c r="D67" s="30" t="str"/>
      <x:c r="E67" s="30" t="str">
        <x:v>000-4900-0000</x:v>
      </x:c>
      <x:c r="F67" s="30" t="str">
        <x:v>Other Income</x:v>
      </x:c>
      <x:c r="G67" s="30" t="str">
        <x:v>CR</x:v>
      </x:c>
      <x:c r="H67" s="33" t="n">
        <x:v>500</x:v>
      </x:c>
      <x:c r="I67" s="30" t="str">
        <x:v>DEPT=100;PROJ=0000</x:v>
      </x:c>
      <x:c r="J67" s="30" t="str">
        <x:v>Interest income</x:v>
      </x:c>
      <x:c r="K67" s="33" t="n">
        <x:f>SUMIFS($H$5:$H$200,$A$5:$A$200,A67,$G$5:$G$200,"DR")-SUMIFS($H$5:$H$200,$A$5:$A$200,A67,$G$5:$G$200,"CR")</x:f>
        <x:v>0</x:v>
      </x:c>
      <x:c r="L67" s="30" t="str">
        <x:f>IF(ABS(K67)&lt;0.01,"Balanced","Check Txn")</x:f>
        <x:v>Balanced</x:v>
      </x:c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  <x:c r="AA67" s="27"/>
      <x:c r="AB67" s="27"/>
    </x:row>
    <x:row r="68">
      <x:c r="A68" s="30" t="str">
        <x:v>FA-ADD-001</x:v>
      </x:c>
      <x:c r="B68" s="32" t="str">
        <x:v>2026-06-08</x:v>
      </x:c>
      <x:c r="C68" s="30" t="str">
        <x:v>Fixed Assets</x:v>
      </x:c>
      <x:c r="D68" s="30" t="str"/>
      <x:c r="E68" s="30" t="str">
        <x:v>000-1520-0000</x:v>
      </x:c>
      <x:c r="F68" s="30" t="str">
        <x:v>Equipment</x:v>
      </x:c>
      <x:c r="G68" s="30" t="str">
        <x:v>DR</x:v>
      </x:c>
      <x:c r="H68" s="33" t="n">
        <x:v>88000</x:v>
      </x:c>
      <x:c r="I68" s="30" t="str">
        <x:v>DEPT=300;PROJ=P101</x:v>
      </x:c>
      <x:c r="J68" s="30" t="str">
        <x:v>Capitalized equipment cost</x:v>
      </x:c>
      <x:c r="K68" s="33" t="n">
        <x:f>SUMIFS($H$5:$H$200,$A$5:$A$200,A68,$G$5:$G$200,"DR")-SUMIFS($H$5:$H$200,$A$5:$A$200,A68,$G$5:$G$200,"CR")</x:f>
        <x:v>0</x:v>
      </x:c>
      <x:c r="L68" s="30" t="str">
        <x:f>IF(ABS(K68)&lt;0.01,"Balanced","Check Txn")</x:f>
        <x:v>Balanced</x:v>
      </x:c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  <x:c r="AA68" s="27"/>
      <x:c r="AB68" s="27"/>
    </x:row>
    <x:row r="69">
      <x:c r="A69" s="30" t="str">
        <x:v>FA-ADD-001</x:v>
      </x:c>
      <x:c r="B69" s="32" t="str">
        <x:v>2026-06-08</x:v>
      </x:c>
      <x:c r="C69" s="30" t="str">
        <x:v>Fixed Assets</x:v>
      </x:c>
      <x:c r="D69" s="30" t="str"/>
      <x:c r="E69" s="30" t="str">
        <x:v>000-2200-0000</x:v>
      </x:c>
      <x:c r="F69" s="30" t="str">
        <x:v>Tax/VAT Control</x:v>
      </x:c>
      <x:c r="G69" s="30" t="str">
        <x:v>DR</x:v>
      </x:c>
      <x:c r="H69" s="33" t="n">
        <x:v>17600</x:v>
      </x:c>
      <x:c r="I69" s="30" t="str">
        <x:v>DEPT=300;PROJ=P101</x:v>
      </x:c>
      <x:c r="J69" s="30" t="str">
        <x:v>Input VAT on asset invoice</x:v>
      </x:c>
      <x:c r="K69" s="33" t="n">
        <x:f>SUMIFS($H$5:$H$200,$A$5:$A$200,A69,$G$5:$G$200,"DR")-SUMIFS($H$5:$H$200,$A$5:$A$200,A69,$G$5:$G$200,"CR")</x:f>
        <x:v>0</x:v>
      </x:c>
      <x:c r="L69" s="30" t="str">
        <x:f>IF(ABS(K69)&lt;0.01,"Balanced","Check Txn")</x:f>
        <x:v>Balanced</x:v>
      </x:c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  <x:c r="AA69" s="27"/>
      <x:c r="AB69" s="27"/>
    </x:row>
    <x:row r="70">
      <x:c r="A70" s="30" t="str">
        <x:v>FA-ADD-001</x:v>
      </x:c>
      <x:c r="B70" s="32" t="str">
        <x:v>2026-06-08</x:v>
      </x:c>
      <x:c r="C70" s="30" t="str">
        <x:v>Fixed Assets</x:v>
      </x:c>
      <x:c r="D70" s="30" t="str"/>
      <x:c r="E70" s="30" t="str">
        <x:v>000-2000-0000</x:v>
      </x:c>
      <x:c r="F70" s="30" t="str">
        <x:v>Accounts Payable</x:v>
      </x:c>
      <x:c r="G70" s="30" t="str">
        <x:v>CR</x:v>
      </x:c>
      <x:c r="H70" s="33" t="n">
        <x:v>105600</x:v>
      </x:c>
      <x:c r="I70" s="30" t="str">
        <x:v>DEPT=300;PROJ=P101</x:v>
      </x:c>
      <x:c r="J70" s="30" t="str">
        <x:v>AP for capital asset invoice</x:v>
      </x:c>
      <x:c r="K70" s="33" t="n">
        <x:f>SUMIFS($H$5:$H$200,$A$5:$A$200,A70,$G$5:$G$200,"DR")-SUMIFS($H$5:$H$200,$A$5:$A$200,A70,$G$5:$G$200,"CR")</x:f>
        <x:v>0</x:v>
      </x:c>
      <x:c r="L70" s="30" t="str">
        <x:f>IF(ABS(K70)&lt;0.01,"Balanced","Check Txn")</x:f>
        <x:v>Balanced</x:v>
      </x:c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  <x:c r="AA70" s="27"/>
      <x:c r="AB70" s="27"/>
    </x:row>
    <x:row r="71">
      <x:c r="A71" s="30" t="str">
        <x:v>FA-DEP-001</x:v>
      </x:c>
      <x:c r="B71" s="32" t="str">
        <x:v>2026-06-30</x:v>
      </x:c>
      <x:c r="C71" s="30" t="str">
        <x:v>Fixed Assets</x:v>
      </x:c>
      <x:c r="D71" s="30" t="str"/>
      <x:c r="E71" s="30" t="str">
        <x:v>000-6300-0000</x:v>
      </x:c>
      <x:c r="F71" s="30" t="str">
        <x:v>Depreciation Expense</x:v>
      </x:c>
      <x:c r="G71" s="30" t="str">
        <x:v>DR</x:v>
      </x:c>
      <x:c r="H71" s="33" t="n">
        <x:v>14340.83</x:v>
      </x:c>
      <x:c r="I71" s="30" t="str">
        <x:v>DEPT=000;PROJ=0000</x:v>
      </x:c>
      <x:c r="J71" s="30" t="str">
        <x:v>June depreciation run</x:v>
      </x:c>
      <x:c r="K71" s="33" t="n">
        <x:f>SUMIFS($H$5:$H$200,$A$5:$A$200,A71,$G$5:$G$200,"DR")-SUMIFS($H$5:$H$200,$A$5:$A$200,A71,$G$5:$G$200,"CR")</x:f>
        <x:v>0</x:v>
      </x:c>
      <x:c r="L71" s="30" t="str">
        <x:f>IF(ABS(K71)&lt;0.01,"Balanced","Check Txn")</x:f>
        <x:v>Balanced</x:v>
      </x:c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  <x:c r="AA71" s="27"/>
      <x:c r="AB71" s="27"/>
    </x:row>
    <x:row r="72">
      <x:c r="A72" s="30" t="str">
        <x:v>FA-DEP-001</x:v>
      </x:c>
      <x:c r="B72" s="32" t="str">
        <x:v>2026-06-30</x:v>
      </x:c>
      <x:c r="C72" s="30" t="str">
        <x:v>Fixed Assets</x:v>
      </x:c>
      <x:c r="D72" s="30" t="str"/>
      <x:c r="E72" s="30" t="str">
        <x:v>000-1590-0000</x:v>
      </x:c>
      <x:c r="F72" s="30" t="str">
        <x:v>Accumulated Depreciation</x:v>
      </x:c>
      <x:c r="G72" s="30" t="str">
        <x:v>CR</x:v>
      </x:c>
      <x:c r="H72" s="33" t="n">
        <x:v>14340.83</x:v>
      </x:c>
      <x:c r="I72" s="30" t="str">
        <x:v>DEPT=000;PROJ=0000</x:v>
      </x:c>
      <x:c r="J72" s="30" t="str">
        <x:v>Accumulated depreciation</x:v>
      </x:c>
      <x:c r="K72" s="33" t="n">
        <x:f>SUMIFS($H$5:$H$200,$A$5:$A$200,A72,$G$5:$G$200,"DR")-SUMIFS($H$5:$H$200,$A$5:$A$200,A72,$G$5:$G$200,"CR")</x:f>
        <x:v>0</x:v>
      </x:c>
      <x:c r="L72" s="30" t="str">
        <x:f>IF(ABS(K72)&lt;0.01,"Balanced","Check Txn")</x:f>
        <x:v>Balanced</x:v>
      </x:c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  <x:c r="AA72" s="27"/>
      <x:c r="AB72" s="27"/>
    </x:row>
    <x:row r="73">
      <x:c r="A73" s="30" t="str">
        <x:v>FA-VAL-001</x:v>
      </x:c>
      <x:c r="B73" s="32" t="str">
        <x:v>2026-06-26</x:v>
      </x:c>
      <x:c r="C73" s="30" t="str">
        <x:v>Fixed Assets</x:v>
      </x:c>
      <x:c r="D73" s="30" t="str"/>
      <x:c r="E73" s="30" t="str">
        <x:v>000-6300-0000</x:v>
      </x:c>
      <x:c r="F73" s="30" t="str">
        <x:v>Depreciation Expense</x:v>
      </x:c>
      <x:c r="G73" s="30" t="str">
        <x:v>DR</x:v>
      </x:c>
      <x:c r="H73" s="33" t="n">
        <x:v>10000</x:v>
      </x:c>
      <x:c r="I73" s="30" t="str">
        <x:v>DEPT=300;PROJ=P101</x:v>
      </x:c>
      <x:c r="J73" s="30" t="str">
        <x:v>Impairment loss fallback</x:v>
      </x:c>
      <x:c r="K73" s="33" t="n">
        <x:f>SUMIFS($H$5:$H$200,$A$5:$A$200,A73,$G$5:$G$200,"DR")-SUMIFS($H$5:$H$200,$A$5:$A$200,A73,$G$5:$G$200,"CR")</x:f>
        <x:v>0</x:v>
      </x:c>
      <x:c r="L73" s="30" t="str">
        <x:f>IF(ABS(K73)&lt;0.01,"Balanced","Check Txn")</x:f>
        <x:v>Balanced</x:v>
      </x:c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  <x:c r="AA73" s="27"/>
      <x:c r="AB73" s="27"/>
    </x:row>
    <x:row r="74">
      <x:c r="A74" s="30" t="str">
        <x:v>FA-VAL-001</x:v>
      </x:c>
      <x:c r="B74" s="32" t="str">
        <x:v>2026-06-26</x:v>
      </x:c>
      <x:c r="C74" s="30" t="str">
        <x:v>Fixed Assets</x:v>
      </x:c>
      <x:c r="D74" s="30" t="str"/>
      <x:c r="E74" s="30" t="str">
        <x:v>000-1520-0000</x:v>
      </x:c>
      <x:c r="F74" s="30" t="str">
        <x:v>Equipment</x:v>
      </x:c>
      <x:c r="G74" s="30" t="str">
        <x:v>CR</x:v>
      </x:c>
      <x:c r="H74" s="33" t="n">
        <x:v>10000</x:v>
      </x:c>
      <x:c r="I74" s="30" t="str">
        <x:v>DEPT=300;PROJ=P101</x:v>
      </x:c>
      <x:c r="J74" s="30" t="str">
        <x:v>Reduce carrying amount fallback</x:v>
      </x:c>
      <x:c r="K74" s="33" t="n">
        <x:f>SUMIFS($H$5:$H$200,$A$5:$A$200,A74,$G$5:$G$200,"DR")-SUMIFS($H$5:$H$200,$A$5:$A$200,A74,$G$5:$G$200,"CR")</x:f>
        <x:v>0</x:v>
      </x:c>
      <x:c r="L74" s="30" t="str">
        <x:f>IF(ABS(K74)&lt;0.01,"Balanced","Check Txn")</x:f>
        <x:v>Balanced</x:v>
      </x:c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  <x:c r="AA74" s="27"/>
      <x:c r="AB74" s="27"/>
    </x:row>
    <x:row r="75">
      <x:c r="A75" s="30" t="str">
        <x:v>FA-DISP-001</x:v>
      </x:c>
      <x:c r="B75" s="32" t="str">
        <x:v>2026-06-28</x:v>
      </x:c>
      <x:c r="C75" s="30" t="str">
        <x:v>Fixed Assets</x:v>
      </x:c>
      <x:c r="D75" s="30" t="str"/>
      <x:c r="E75" s="30" t="str">
        <x:v>000-1000-0000</x:v>
      </x:c>
      <x:c r="F75" s="30" t="str">
        <x:v>Cash and Cash Equivalents</x:v>
      </x:c>
      <x:c r="G75" s="30" t="str">
        <x:v>DR</x:v>
      </x:c>
      <x:c r="H75" s="33" t="n">
        <x:v>190000</x:v>
      </x:c>
      <x:c r="I75" s="30" t="str">
        <x:v>DEPT=200;PROJ=0000</x:v>
      </x:c>
      <x:c r="J75" s="30" t="str">
        <x:v>Disposal proceeds</x:v>
      </x:c>
      <x:c r="K75" s="33" t="n">
        <x:f>SUMIFS($H$5:$H$200,$A$5:$A$200,A75,$G$5:$G$200,"DR")-SUMIFS($H$5:$H$200,$A$5:$A$200,A75,$G$5:$G$200,"CR")</x:f>
        <x:v>0</x:v>
      </x:c>
      <x:c r="L75" s="30" t="str">
        <x:f>IF(ABS(K75)&lt;0.01,"Balanced","Check Txn")</x:f>
        <x:v>Balanced</x:v>
      </x:c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  <x:c r="AA75" s="27"/>
      <x:c r="AB75" s="27"/>
    </x:row>
    <x:row r="76">
      <x:c r="A76" s="30" t="str">
        <x:v>FA-DISP-001</x:v>
      </x:c>
      <x:c r="B76" s="32" t="str">
        <x:v>2026-06-28</x:v>
      </x:c>
      <x:c r="C76" s="30" t="str">
        <x:v>Fixed Assets</x:v>
      </x:c>
      <x:c r="D76" s="30" t="str"/>
      <x:c r="E76" s="30" t="str">
        <x:v>000-1590-0000</x:v>
      </x:c>
      <x:c r="F76" s="30" t="str">
        <x:v>Accumulated Depreciation</x:v>
      </x:c>
      <x:c r="G76" s="30" t="str">
        <x:v>DR</x:v>
      </x:c>
      <x:c r="H76" s="33" t="n">
        <x:v>67187.5</x:v>
      </x:c>
      <x:c r="I76" s="30" t="str">
        <x:v>DEPT=200;PROJ=0000</x:v>
      </x:c>
      <x:c r="J76" s="30" t="str">
        <x:v>Clear accumulated depreciation</x:v>
      </x:c>
      <x:c r="K76" s="33" t="n">
        <x:f>SUMIFS($H$5:$H$200,$A$5:$A$200,A76,$G$5:$G$200,"DR")-SUMIFS($H$5:$H$200,$A$5:$A$200,A76,$G$5:$G$200,"CR")</x:f>
        <x:v>0</x:v>
      </x:c>
      <x:c r="L76" s="30" t="str">
        <x:f>IF(ABS(K76)&lt;0.01,"Balanced","Check Txn")</x:f>
        <x:v>Balanced</x:v>
      </x:c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  <x:c r="AA76" s="27"/>
      <x:c r="AB76" s="27"/>
    </x:row>
    <x:row r="77">
      <x:c r="A77" s="30" t="str">
        <x:v>FA-DISP-001</x:v>
      </x:c>
      <x:c r="B77" s="32" t="str">
        <x:v>2026-06-28</x:v>
      </x:c>
      <x:c r="C77" s="30" t="str">
        <x:v>Fixed Assets</x:v>
      </x:c>
      <x:c r="D77" s="30" t="str"/>
      <x:c r="E77" s="30" t="str">
        <x:v>000-1530-0000</x:v>
      </x:c>
      <x:c r="F77" s="30" t="str">
        <x:v>Vehicles</x:v>
      </x:c>
      <x:c r="G77" s="30" t="str">
        <x:v>CR</x:v>
      </x:c>
      <x:c r="H77" s="33" t="n">
        <x:v>250000</x:v>
      </x:c>
      <x:c r="I77" s="30" t="str">
        <x:v>DEPT=200;PROJ=0000</x:v>
      </x:c>
      <x:c r="J77" s="30" t="str">
        <x:v>Clear vehicle cost</x:v>
      </x:c>
      <x:c r="K77" s="33" t="n">
        <x:f>SUMIFS($H$5:$H$200,$A$5:$A$200,A77,$G$5:$G$200,"DR")-SUMIFS($H$5:$H$200,$A$5:$A$200,A77,$G$5:$G$200,"CR")</x:f>
        <x:v>0</x:v>
      </x:c>
      <x:c r="L77" s="30" t="str">
        <x:f>IF(ABS(K77)&lt;0.01,"Balanced","Check Txn")</x:f>
        <x:v>Balanced</x:v>
      </x:c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  <x:c r="AA77" s="27"/>
      <x:c r="AB77" s="27"/>
    </x:row>
    <x:row r="78">
      <x:c r="A78" s="30" t="str">
        <x:v>FA-DISP-001</x:v>
      </x:c>
      <x:c r="B78" s="32" t="str">
        <x:v>2026-06-28</x:v>
      </x:c>
      <x:c r="C78" s="30" t="str">
        <x:v>Fixed Assets</x:v>
      </x:c>
      <x:c r="D78" s="30" t="str"/>
      <x:c r="E78" s="30" t="str">
        <x:v>000-4900-0000</x:v>
      </x:c>
      <x:c r="F78" s="30" t="str">
        <x:v>Other Income</x:v>
      </x:c>
      <x:c r="G78" s="30" t="str">
        <x:v>CR</x:v>
      </x:c>
      <x:c r="H78" s="33" t="n">
        <x:v>7187.5</x:v>
      </x:c>
      <x:c r="I78" s="30" t="str">
        <x:v>DEPT=200;PROJ=0000</x:v>
      </x:c>
      <x:c r="J78" s="30" t="str">
        <x:v>Gain on disposal fallback</x:v>
      </x:c>
      <x:c r="K78" s="33" t="n">
        <x:f>SUMIFS($H$5:$H$200,$A$5:$A$200,A78,$G$5:$G$200,"DR")-SUMIFS($H$5:$H$200,$A$5:$A$200,A78,$G$5:$G$200,"CR")</x:f>
        <x:v>0</x:v>
      </x:c>
      <x:c r="L78" s="30" t="str">
        <x:f>IF(ABS(K78)&lt;0.01,"Balanced","Check Txn")</x:f>
        <x:v>Balanced</x:v>
      </x:c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  <x:c r="AA78" s="27"/>
      <x:c r="AB78" s="27"/>
    </x:row>
    <x:row r="79">
      <x:c r="A79" s="30" t="str">
        <x:v>FA-LEASE-001</x:v>
      </x:c>
      <x:c r="B79" s="32" t="str">
        <x:v>2026-06-29</x:v>
      </x:c>
      <x:c r="C79" s="30" t="str">
        <x:v>Fixed Assets</x:v>
      </x:c>
      <x:c r="D79" s="30" t="str"/>
      <x:c r="E79" s="30" t="str">
        <x:v>000-1510-0000</x:v>
      </x:c>
      <x:c r="F79" s="30" t="str">
        <x:v>Buildings</x:v>
      </x:c>
      <x:c r="G79" s="30" t="str">
        <x:v>DR</x:v>
      </x:c>
      <x:c r="H79" s="33" t="n">
        <x:v>300000</x:v>
      </x:c>
      <x:c r="I79" s="30" t="str">
        <x:v>DEPT=100;PROJ=0000</x:v>
      </x:c>
      <x:c r="J79" s="30" t="str">
        <x:v>ROU asset fallback</x:v>
      </x:c>
      <x:c r="K79" s="33" t="n">
        <x:f>SUMIFS($H$5:$H$200,$A$5:$A$200,A79,$G$5:$G$200,"DR")-SUMIFS($H$5:$H$200,$A$5:$A$200,A79,$G$5:$G$200,"CR")</x:f>
        <x:v>0</x:v>
      </x:c>
      <x:c r="L79" s="30" t="str">
        <x:f>IF(ABS(K79)&lt;0.01,"Balanced","Check Txn")</x:f>
        <x:v>Balanced</x:v>
      </x:c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  <x:c r="AA79" s="27"/>
      <x:c r="AB79" s="27"/>
    </x:row>
    <x:row r="80">
      <x:c r="A80" s="30" t="str">
        <x:v>FA-LEASE-001</x:v>
      </x:c>
      <x:c r="B80" s="32" t="str">
        <x:v>2026-06-29</x:v>
      </x:c>
      <x:c r="C80" s="30" t="str">
        <x:v>Fixed Assets</x:v>
      </x:c>
      <x:c r="D80" s="30" t="str"/>
      <x:c r="E80" s="30" t="str">
        <x:v>000-2500-0000</x:v>
      </x:c>
      <x:c r="F80" s="30" t="str">
        <x:v>Long-term Debt</x:v>
      </x:c>
      <x:c r="G80" s="30" t="str">
        <x:v>CR</x:v>
      </x:c>
      <x:c r="H80" s="33" t="n">
        <x:v>300000</x:v>
      </x:c>
      <x:c r="I80" s="30" t="str">
        <x:v>DEPT=100;PROJ=0000</x:v>
      </x:c>
      <x:c r="J80" s="30" t="str">
        <x:v>Lease liability fallback</x:v>
      </x:c>
      <x:c r="K80" s="33" t="n">
        <x:f>SUMIFS($H$5:$H$200,$A$5:$A$200,A80,$G$5:$G$200,"DR")-SUMIFS($H$5:$H$200,$A$5:$A$200,A80,$G$5:$G$200,"CR")</x:f>
        <x:v>0</x:v>
      </x:c>
      <x:c r="L80" s="30" t="str">
        <x:f>IF(ABS(K80)&lt;0.01,"Balanced","Check Txn")</x:f>
        <x:v>Balanced</x:v>
      </x:c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  <x:c r="AA80" s="27"/>
      <x:c r="AB80" s="27"/>
    </x:row>
    <x:row r="81">
      <x:c r="A81" s="30" t="str">
        <x:v>FA-LEASE-PMT-001</x:v>
      </x:c>
      <x:c r="B81" s="32" t="str">
        <x:v>2026-06-30</x:v>
      </x:c>
      <x:c r="C81" s="30" t="str">
        <x:v>Fixed Assets</x:v>
      </x:c>
      <x:c r="D81" s="30" t="str"/>
      <x:c r="E81" s="30" t="str">
        <x:v>000-2500-0000</x:v>
      </x:c>
      <x:c r="F81" s="30" t="str">
        <x:v>Long-term Debt</x:v>
      </x:c>
      <x:c r="G81" s="30" t="str">
        <x:v>DR</x:v>
      </x:c>
      <x:c r="H81" s="33" t="n">
        <x:v>4500</x:v>
      </x:c>
      <x:c r="I81" s="30" t="str">
        <x:v>DEPT=100;PROJ=0000</x:v>
      </x:c>
      <x:c r="J81" s="30" t="str">
        <x:v>Lease principal</x:v>
      </x:c>
      <x:c r="K81" s="33" t="n">
        <x:f>SUMIFS($H$5:$H$200,$A$5:$A$200,A81,$G$5:$G$200,"DR")-SUMIFS($H$5:$H$200,$A$5:$A$200,A81,$G$5:$G$200,"CR")</x:f>
        <x:v>0</x:v>
      </x:c>
      <x:c r="L81" s="30" t="str">
        <x:f>IF(ABS(K81)&lt;0.01,"Balanced","Check Txn")</x:f>
        <x:v>Balanced</x:v>
      </x:c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  <x:c r="AA81" s="27"/>
      <x:c r="AB81" s="27"/>
    </x:row>
    <x:row r="82">
      <x:c r="A82" s="30" t="str">
        <x:v>FA-LEASE-PMT-001</x:v>
      </x:c>
      <x:c r="B82" s="32" t="str">
        <x:v>2026-06-30</x:v>
      </x:c>
      <x:c r="C82" s="30" t="str">
        <x:v>Fixed Assets</x:v>
      </x:c>
      <x:c r="D82" s="30" t="str"/>
      <x:c r="E82" s="30" t="str">
        <x:v>000-6500-0000</x:v>
      </x:c>
      <x:c r="F82" s="30" t="str">
        <x:v>Professional Fees</x:v>
      </x:c>
      <x:c r="G82" s="30" t="str">
        <x:v>DR</x:v>
      </x:c>
      <x:c r="H82" s="33" t="n">
        <x:v>1500</x:v>
      </x:c>
      <x:c r="I82" s="30" t="str">
        <x:v>DEPT=100;PROJ=0000</x:v>
      </x:c>
      <x:c r="J82" s="30" t="str">
        <x:v>Lease interest fallback</x:v>
      </x:c>
      <x:c r="K82" s="33" t="n">
        <x:f>SUMIFS($H$5:$H$200,$A$5:$A$200,A82,$G$5:$G$200,"DR")-SUMIFS($H$5:$H$200,$A$5:$A$200,A82,$G$5:$G$200,"CR")</x:f>
        <x:v>0</x:v>
      </x:c>
      <x:c r="L82" s="30" t="str">
        <x:f>IF(ABS(K82)&lt;0.01,"Balanced","Check Txn")</x:f>
        <x:v>Balanced</x:v>
      </x:c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  <x:c r="AA82" s="27"/>
      <x:c r="AB82" s="27"/>
    </x:row>
    <x:row r="83">
      <x:c r="A83" s="30" t="str">
        <x:v>FA-LEASE-PMT-001</x:v>
      </x:c>
      <x:c r="B83" s="32" t="str">
        <x:v>2026-06-30</x:v>
      </x:c>
      <x:c r="C83" s="30" t="str">
        <x:v>Fixed Assets</x:v>
      </x:c>
      <x:c r="D83" s="30" t="str"/>
      <x:c r="E83" s="30" t="str">
        <x:v>000-1000-0000</x:v>
      </x:c>
      <x:c r="F83" s="30" t="str">
        <x:v>Cash and Cash Equivalents</x:v>
      </x:c>
      <x:c r="G83" s="30" t="str">
        <x:v>CR</x:v>
      </x:c>
      <x:c r="H83" s="33" t="n">
        <x:v>6000</x:v>
      </x:c>
      <x:c r="I83" s="30" t="str">
        <x:v>DEPT=100;PROJ=0000</x:v>
      </x:c>
      <x:c r="J83" s="30" t="str">
        <x:v>Lease cash payment</x:v>
      </x:c>
      <x:c r="K83" s="33" t="n">
        <x:f>SUMIFS($H$5:$H$200,$A$5:$A$200,A83,$G$5:$G$200,"DR")-SUMIFS($H$5:$H$200,$A$5:$A$200,A83,$G$5:$G$200,"CR")</x:f>
        <x:v>0</x:v>
      </x:c>
      <x:c r="L83" s="30" t="str">
        <x:f>IF(ABS(K83)&lt;0.01,"Balanced","Check Txn")</x:f>
        <x:v>Balanced</x:v>
      </x:c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  <x:c r="AA83" s="27"/>
      <x:c r="AB83" s="27"/>
    </x:row>
    <x:row r="84">
      <x:c r="A84" s="30" t="str">
        <x:v>FX-REVAL-001</x:v>
      </x:c>
      <x:c r="B84" s="32" t="str">
        <x:v>2026-06-30</x:v>
      </x:c>
      <x:c r="C84" s="30" t="str">
        <x:v>Multi-Currency</x:v>
      </x:c>
      <x:c r="D84" s="30" t="str"/>
      <x:c r="E84" s="30" t="str">
        <x:v>000-1100-0000</x:v>
      </x:c>
      <x:c r="F84" s="30" t="str">
        <x:v>Accounts Receivable</x:v>
      </x:c>
      <x:c r="G84" s="30" t="str">
        <x:v>DR</x:v>
      </x:c>
      <x:c r="H84" s="33" t="n">
        <x:v>4200</x:v>
      </x:c>
      <x:c r="I84" s="30" t="str">
        <x:v>DEPT=100;PROJ=0000</x:v>
      </x:c>
      <x:c r="J84" s="30" t="str">
        <x:v>Revalue open USD AR at 13.1</x:v>
      </x:c>
      <x:c r="K84" s="33" t="n">
        <x:f>SUMIFS($H$5:$H$200,$A$5:$A$200,A84,$G$5:$G$200,"DR")-SUMIFS($H$5:$H$200,$A$5:$A$200,A84,$G$5:$G$200,"CR")</x:f>
        <x:v>0</x:v>
      </x:c>
      <x:c r="L84" s="30" t="str">
        <x:f>IF(ABS(K84)&lt;0.01,"Balanced","Check Txn")</x:f>
        <x:v>Balanced</x:v>
      </x:c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  <x:c r="AA84" s="27"/>
      <x:c r="AB84" s="27"/>
    </x:row>
    <x:row r="85">
      <x:c r="A85" s="30" t="str">
        <x:v>FX-REVAL-001</x:v>
      </x:c>
      <x:c r="B85" s="32" t="str">
        <x:v>2026-06-30</x:v>
      </x:c>
      <x:c r="C85" s="30" t="str">
        <x:v>Multi-Currency</x:v>
      </x:c>
      <x:c r="D85" s="30" t="str"/>
      <x:c r="E85" s="30" t="str">
        <x:v>000-7100-0000</x:v>
      </x:c>
      <x:c r="F85" s="30" t="str">
        <x:v>Unrealized Exchange Gain</x:v>
      </x:c>
      <x:c r="G85" s="30" t="str">
        <x:v>CR</x:v>
      </x:c>
      <x:c r="H85" s="33" t="n">
        <x:v>4200</x:v>
      </x:c>
      <x:c r="I85" s="30" t="str">
        <x:v>DEPT=100;PROJ=0000</x:v>
      </x:c>
      <x:c r="J85" s="30" t="str">
        <x:v>Unrealized FX gain</x:v>
      </x:c>
      <x:c r="K85" s="33" t="n">
        <x:f>SUMIFS($H$5:$H$200,$A$5:$A$200,A85,$G$5:$G$200,"DR")-SUMIFS($H$5:$H$200,$A$5:$A$200,A85,$G$5:$G$200,"CR")</x:f>
        <x:v>0</x:v>
      </x:c>
      <x:c r="L85" s="30" t="str">
        <x:f>IF(ABS(K85)&lt;0.01,"Balanced","Check Txn")</x:f>
        <x:v>Balanced</x:v>
      </x:c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  <x:c r="AA85" s="27"/>
      <x:c r="AB85" s="27"/>
    </x:row>
    <x:row r="86">
      <x:c r="A86" s="30" t="str">
        <x:v>FX-REVAL-002</x:v>
      </x:c>
      <x:c r="B86" s="32" t="str">
        <x:v>2026-06-30</x:v>
      </x:c>
      <x:c r="C86" s="30" t="str">
        <x:v>Multi-Currency</x:v>
      </x:c>
      <x:c r="D86" s="30" t="str"/>
      <x:c r="E86" s="30" t="str">
        <x:v>000-7110-0000</x:v>
      </x:c>
      <x:c r="F86" s="30" t="str">
        <x:v>Unrealized Exchange Loss</x:v>
      </x:c>
      <x:c r="G86" s="30" t="str">
        <x:v>DR</x:v>
      </x:c>
      <x:c r="H86" s="33" t="n">
        <x:v>3600</x:v>
      </x:c>
      <x:c r="I86" s="30" t="str">
        <x:v>DEPT=100;PROJ=0000</x:v>
      </x:c>
      <x:c r="J86" s="30" t="str">
        <x:v>Unrealized FX loss</x:v>
      </x:c>
      <x:c r="K86" s="33" t="n">
        <x:f>SUMIFS($H$5:$H$200,$A$5:$A$200,A86,$G$5:$G$200,"DR")-SUMIFS($H$5:$H$200,$A$5:$A$200,A86,$G$5:$G$200,"CR")</x:f>
        <x:v>0</x:v>
      </x:c>
      <x:c r="L86" s="30" t="str">
        <x:f>IF(ABS(K86)&lt;0.01,"Balanced","Check Txn")</x:f>
        <x:v>Balanced</x:v>
      </x:c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  <x:c r="AA86" s="27"/>
      <x:c r="AB86" s="27"/>
    </x:row>
    <x:row r="87">
      <x:c r="A87" s="30" t="str">
        <x:v>FX-REVAL-002</x:v>
      </x:c>
      <x:c r="B87" s="32" t="str">
        <x:v>2026-06-30</x:v>
      </x:c>
      <x:c r="C87" s="30" t="str">
        <x:v>Multi-Currency</x:v>
      </x:c>
      <x:c r="D87" s="30" t="str"/>
      <x:c r="E87" s="30" t="str">
        <x:v>000-2000-0000</x:v>
      </x:c>
      <x:c r="F87" s="30" t="str">
        <x:v>Accounts Payable</x:v>
      </x:c>
      <x:c r="G87" s="30" t="str">
        <x:v>CR</x:v>
      </x:c>
      <x:c r="H87" s="33" t="n">
        <x:v>3600</x:v>
      </x:c>
      <x:c r="I87" s="30" t="str">
        <x:v>DEPT=100;PROJ=0000</x:v>
      </x:c>
      <x:c r="J87" s="30" t="str">
        <x:v>Revalue open USD AP at 13.1</x:v>
      </x:c>
      <x:c r="K87" s="33" t="n">
        <x:f>SUMIFS($H$5:$H$200,$A$5:$A$200,A87,$G$5:$G$200,"DR")-SUMIFS($H$5:$H$200,$A$5:$A$200,A87,$G$5:$G$200,"CR")</x:f>
        <x:v>0</x:v>
      </x:c>
      <x:c r="L87" s="30" t="str">
        <x:f>IF(ABS(K87)&lt;0.01,"Balanced","Check Txn")</x:f>
        <x:v>Balanced</x:v>
      </x:c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  <x:c r="AA87" s="27"/>
      <x:c r="AB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  <x:c r="AA88" s="27"/>
      <x:c r="AB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  <x:c r="AA89" s="27"/>
      <x:c r="AB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  <x:c r="AA90" s="27"/>
      <x:c r="AB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  <x:c r="AA91" s="27"/>
      <x:c r="AB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  <x:c r="AA92" s="27"/>
      <x:c r="AB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  <x:c r="AA93" s="27"/>
      <x:c r="AB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  <x:c r="AA94" s="27"/>
      <x:c r="AB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  <x:c r="AA95" s="27"/>
      <x:c r="AB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  <x:c r="AA96" s="27"/>
      <x:c r="AB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  <x:c r="AA97" s="27"/>
      <x:c r="AB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  <x:c r="AA98" s="27"/>
      <x:c r="AB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  <x:c r="AA99" s="27"/>
      <x:c r="AB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  <x:c r="AA100" s="27"/>
      <x:c r="AB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  <x:c r="AA101" s="27"/>
      <x:c r="AB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  <x:c r="AA102" s="27"/>
      <x:c r="AB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  <x:c r="AA103" s="27"/>
      <x:c r="AB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  <x:c r="AA104" s="27"/>
      <x:c r="AB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  <x:c r="AA105" s="27"/>
      <x:c r="AB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  <x:c r="AA106" s="27"/>
      <x:c r="AB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  <x:c r="AA107" s="27"/>
      <x:c r="AB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  <x:c r="AA108" s="27"/>
      <x:c r="AB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  <x:c r="AA109" s="27"/>
      <x:c r="AB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  <x:c r="AA110" s="27"/>
      <x:c r="AB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  <x:c r="AA111" s="27"/>
      <x:c r="AB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  <x:c r="AA112" s="27"/>
      <x:c r="AB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  <x:c r="AA113" s="27"/>
      <x:c r="AB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  <x:c r="AA114" s="27"/>
      <x:c r="AB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  <x:c r="AA115" s="27"/>
      <x:c r="AB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  <x:c r="AA116" s="27"/>
      <x:c r="AB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  <x:c r="AA117" s="27"/>
      <x:c r="AB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  <x:c r="AA118" s="27"/>
      <x:c r="AB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  <x:c r="AA119" s="27"/>
      <x:c r="AB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  <x:c r="AA120" s="27"/>
      <x:c r="AB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  <x:c r="AA121" s="27"/>
      <x:c r="AB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  <x:c r="AA122" s="27"/>
      <x:c r="AB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  <x:c r="AA123" s="27"/>
      <x:c r="AB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  <x:c r="AA124" s="27"/>
      <x:c r="AB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  <x:c r="AA125" s="27"/>
      <x:c r="AB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  <x:c r="AA126" s="27"/>
      <x:c r="AB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  <x:c r="AA127" s="27"/>
      <x:c r="AB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  <x:c r="AA128" s="27"/>
      <x:c r="AB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  <x:c r="AA129" s="27"/>
      <x:c r="AB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  <x:c r="AA130" s="27"/>
      <x:c r="AB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  <x:c r="AA131" s="27"/>
      <x:c r="AB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  <x:c r="AA132" s="27"/>
      <x:c r="AB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  <x:c r="AA133" s="27"/>
      <x:c r="AB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  <x:c r="AA134" s="27"/>
      <x:c r="AB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  <x:c r="AA135" s="27"/>
      <x:c r="AB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  <x:c r="AA136" s="27"/>
      <x:c r="AB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  <x:c r="AA137" s="27"/>
      <x:c r="AB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  <x:c r="AA138" s="27"/>
      <x:c r="AB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  <x:c r="AA139" s="27"/>
      <x:c r="AB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  <x:c r="AA140" s="27"/>
      <x:c r="AB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  <x:c r="AA141" s="27"/>
      <x:c r="AB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  <x:c r="AA142" s="27"/>
      <x:c r="AB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  <x:c r="AA143" s="27"/>
      <x:c r="AB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  <x:c r="AA144" s="27"/>
      <x:c r="AB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  <x:c r="AA145" s="27"/>
      <x:c r="AB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  <x:c r="AA146" s="27"/>
      <x:c r="AB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  <x:c r="AA147" s="27"/>
      <x:c r="AB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  <x:c r="AA148" s="27"/>
      <x:c r="AB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  <x:c r="AA149" s="27"/>
      <x:c r="AB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  <x:c r="AA150" s="27"/>
      <x:c r="AB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  <x:c r="AA151" s="27"/>
      <x:c r="AB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  <x:c r="AA152" s="27"/>
      <x:c r="AB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  <x:c r="AA153" s="27"/>
      <x:c r="AB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  <x:c r="AA154" s="27"/>
      <x:c r="AB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  <x:c r="AA155" s="27"/>
      <x:c r="AB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  <x:c r="AA156" s="27"/>
      <x:c r="AB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  <x:c r="AA157" s="27"/>
      <x:c r="AB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  <x:c r="AA158" s="27"/>
      <x:c r="AB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  <x:c r="AA159" s="27"/>
      <x:c r="AB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  <x:c r="AA160" s="27"/>
      <x:c r="AB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  <x:c r="AA161" s="27"/>
      <x:c r="AB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  <x:c r="AA162" s="27"/>
      <x:c r="AB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  <x:c r="AA163" s="27"/>
      <x:c r="AB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  <x:c r="AA164" s="27"/>
      <x:c r="AB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  <x:c r="AA165" s="27"/>
      <x:c r="AB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  <x:c r="AA166" s="27"/>
      <x:c r="AB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  <x:c r="AA167" s="27"/>
      <x:c r="AB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  <x:c r="AA168" s="27"/>
      <x:c r="AB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  <x:c r="AA169" s="27"/>
      <x:c r="AB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  <x:c r="AA170" s="27"/>
      <x:c r="AB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  <x:c r="AA171" s="27"/>
      <x:c r="AB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  <x:c r="AA172" s="27"/>
      <x:c r="AB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  <x:c r="AA173" s="27"/>
      <x:c r="AB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  <x:c r="AA174" s="27"/>
      <x:c r="AB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  <x:c r="AA175" s="27"/>
      <x:c r="AB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  <x:c r="AA176" s="27"/>
      <x:c r="AB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  <x:c r="AA177" s="27"/>
      <x:c r="AB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  <x:c r="AA178" s="27"/>
      <x:c r="AB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  <x:c r="AA179" s="27"/>
      <x:c r="AB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  <x:c r="AA180" s="27"/>
      <x:c r="AB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  <x:c r="AA181" s="27"/>
      <x:c r="AB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  <x:c r="AA182" s="27"/>
      <x:c r="AB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  <x:c r="AA183" s="27"/>
      <x:c r="AB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  <x:c r="AA184" s="27"/>
      <x:c r="AB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  <x:c r="AA185" s="27"/>
      <x:c r="AB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  <x:c r="AA186" s="27"/>
      <x:c r="AB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  <x:c r="AA187" s="27"/>
      <x:c r="AB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  <x:c r="AA188" s="27"/>
      <x:c r="AB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  <x:c r="AA189" s="27"/>
      <x:c r="AB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  <x:c r="AA190" s="27"/>
      <x:c r="AB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  <x:c r="AA191" s="27"/>
      <x:c r="AB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  <x:c r="AA192" s="27"/>
      <x:c r="AB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  <x:c r="AA193" s="27"/>
      <x:c r="AB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  <x:c r="AA194" s="27"/>
      <x:c r="AB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  <x:c r="AA195" s="27"/>
      <x:c r="AB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  <x:c r="AA196" s="27"/>
      <x:c r="AB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  <x:c r="AA197" s="27"/>
      <x:c r="AB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  <x:c r="AA198" s="27"/>
      <x:c r="AB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  <x:c r="AA199" s="27"/>
      <x:c r="AB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  <x:c r="AA200" s="27"/>
      <x:c r="AB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  <x:c r="AA201" s="27"/>
      <x:c r="AB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  <x:c r="AA202" s="27"/>
      <x:c r="AB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  <x:c r="AA203" s="27"/>
      <x:c r="AB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  <x:c r="AA204" s="27"/>
      <x:c r="AB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  <x:c r="AA205" s="27"/>
      <x:c r="AB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  <x:c r="Z206" s="27"/>
      <x:c r="AA206" s="27"/>
      <x:c r="AB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  <x:c r="Z207" s="27"/>
      <x:c r="AA207" s="27"/>
      <x:c r="AB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  <x:c r="Z208" s="27"/>
      <x:c r="AA208" s="27"/>
      <x:c r="AB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  <x:c r="Z209" s="27"/>
      <x:c r="AA209" s="27"/>
      <x:c r="AB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  <x:c r="Z210" s="27"/>
      <x:c r="AA210" s="27"/>
      <x:c r="AB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  <x:c r="Z211" s="27"/>
      <x:c r="AA211" s="27"/>
      <x:c r="AB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  <x:c r="Z212" s="27"/>
      <x:c r="AA212" s="27"/>
      <x:c r="AB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  <x:c r="Z213" s="27"/>
      <x:c r="AA213" s="27"/>
      <x:c r="AB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  <x:c r="Z214" s="27"/>
      <x:c r="AA214" s="27"/>
      <x:c r="AB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  <x:c r="Z215" s="27"/>
      <x:c r="AA215" s="27"/>
      <x:c r="AB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  <x:c r="Z216" s="27"/>
      <x:c r="AA216" s="27"/>
      <x:c r="AB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  <x:c r="Z217" s="27"/>
      <x:c r="AA217" s="27"/>
      <x:c r="AB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  <x:c r="Z218" s="27"/>
      <x:c r="AA218" s="27"/>
      <x:c r="AB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  <x:c r="Z219" s="27"/>
      <x:c r="AA219" s="27"/>
      <x:c r="AB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  <x:c r="Z220" s="27"/>
      <x:c r="AA220" s="27"/>
      <x:c r="AB220" s="27"/>
    </x:row>
  </x:sheetData>
  <x:conditionalFormatting sqref="L5:L87">
    <x:cfRule type="containsText" dxfId="7" priority="1" operator="containsText" text="Balanced"/>
    <x:cfRule type="containsText" dxfId="8" priority="2" operator="containsText" text="Check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30" hidden="0" customWidth="1"/>
    <x:col min="4" max="4" width="14" hidden="0" customWidth="1"/>
    <x:col min="5" max="5" width="18" hidden="0" customWidth="1"/>
    <x:col min="6" max="6" width="13" hidden="0" customWidth="1"/>
    <x:col min="7" max="7" width="15" hidden="0" customWidth="1"/>
    <x:col min="8" max="8" width="15" hidden="0" customWidth="1"/>
    <x:col min="9" max="9" width="13" hidden="0" customWidth="1"/>
    <x:col min="10" max="10" width="14" hidden="0" customWidth="1"/>
    <x:col min="11" max="11" width="16" hidden="0" customWidth="1"/>
    <x:col min="12" max="12" width="16" hidden="0" customWidth="1"/>
    <x:col min="13" max="13" width="18" hidden="0" customWidth="1"/>
    <x:col min="14" max="14" width="20" hidden="0" customWidth="1"/>
    <x:col min="15" max="15" width="16" hidden="0" customWidth="1"/>
    <x:col min="16" max="16" width="44" hidden="0" customWidth="1"/>
    <x:col min="17" max="17" width="56" hidden="0" customWidth="1"/>
  </x:cols>
  <x:sheetData>
    <x:row r="1" ht="28" customHeight="1">
      <x:c r="A1" s="26" t="str">
        <x:v>Fixed Asset Transaction Flows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7"/>
      <x:c r="S1" s="27"/>
      <x:c r="T1" s="27"/>
      <x:c r="U1" s="27"/>
      <x:c r="V1" s="27"/>
      <x:c r="W1" s="27"/>
      <x:c r="X1" s="27"/>
      <x:c r="Y1" s="27"/>
      <x:c r="Z1" s="27"/>
      <x:c r="AA1" s="27"/>
      <x:c r="AB1" s="27"/>
    </x:row>
    <x:row r="2" ht="46" customHeight="1">
      <x:c r="A2" s="28" t="str">
        <x:v>Opening asset register plus acquisition, depreciation, transfer, impairment, disposal, and lease accounting test rows.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</x:row>
    <x:row r="4">
      <x:c r="A4" s="31" t="str">
        <x:v>Flow</x:v>
      </x:c>
      <x:c r="B4" s="31" t="str">
        <x:v>Asset Code</x:v>
      </x:c>
      <x:c r="C4" s="31" t="str">
        <x:v>Asset Name</x:v>
      </x:c>
      <x:c r="D4" s="31" t="str">
        <x:v>Category</x:v>
      </x:c>
      <x:c r="E4" s="31" t="str">
        <x:v>Source Txn</x:v>
      </x:c>
      <x:c r="F4" s="31" t="str">
        <x:v>Txn Date</x:v>
      </x:c>
      <x:c r="G4" s="31" t="str">
        <x:v>Purchase Price</x:v>
      </x:c>
      <x:c r="H4" s="31" t="str">
        <x:v>Install/Cap Cost</x:v>
      </x:c>
      <x:c r="I4" s="31" t="str">
        <x:v>Tax</x:v>
      </x:c>
      <x:c r="J4" s="31" t="str">
        <x:v>Residual Value</x:v>
      </x:c>
      <x:c r="K4" s="31" t="str">
        <x:v>Useful Life Months</x:v>
      </x:c>
      <x:c r="L4" s="31" t="str">
        <x:v>Manual/Test Amount</x:v>
      </x:c>
      <x:c r="M4" s="31" t="str">
        <x:v>Calculated Acquisition Cost</x:v>
      </x:c>
      <x:c r="N4" s="31" t="str">
        <x:v>Monthly Dep / Test Amount</x:v>
      </x:c>
      <x:c r="O4" s="31" t="str">
        <x:v>Expected Status</x:v>
      </x:c>
      <x:c r="P4" s="31" t="str">
        <x:v>Expected GL / Accounting</x:v>
      </x:c>
      <x:c r="Q4" s="31" t="str">
        <x:v>Watch Out</x:v>
      </x:c>
      <x:c r="R4" s="27"/>
      <x:c r="S4" s="27"/>
      <x:c r="T4" s="27"/>
      <x:c r="U4" s="27"/>
      <x:c r="V4" s="27"/>
      <x:c r="W4" s="27"/>
      <x:c r="X4" s="27"/>
      <x:c r="Y4" s="27"/>
      <x:c r="Z4" s="27"/>
      <x:c r="AA4" s="27"/>
      <x:c r="AB4" s="27"/>
    </x:row>
    <x:row r="5">
      <x:c r="A5" s="30" t="str">
        <x:v>Opening</x:v>
      </x:c>
      <x:c r="B5" s="30" t="str">
        <x:v>FA-2024-BLDG-001</x:v>
      </x:c>
      <x:c r="C5" s="30" t="str">
        <x:v>Headquarters Building</x:v>
      </x:c>
      <x:c r="D5" s="30" t="str">
        <x:v>FA-BLDG</x:v>
      </x:c>
      <x:c r="E5" s="30" t="str">
        <x:v>Opening asset</x:v>
      </x:c>
      <x:c r="F5" s="32" t="str">
        <x:v>2026-06-01</x:v>
      </x:c>
      <x:c r="G5" s="33" t="n">
        <x:v>1200000</x:v>
      </x:c>
      <x:c r="H5" s="33" t="n">
        <x:v>50000</x:v>
      </x:c>
      <x:c r="I5" s="33" t="n">
        <x:v>0</x:v>
      </x:c>
      <x:c r="J5" s="33" t="n">
        <x:v>50000</x:v>
      </x:c>
      <x:c r="K5" s="33" t="n">
        <x:v>240</x:v>
      </x:c>
      <x:c r="L5" s="33"/>
      <x:c r="M5" s="33" t="n">
        <x:f>G5+H5</x:f>
        <x:v>1250000</x:v>
      </x:c>
      <x:c r="N5" s="33" t="n">
        <x:f>IF(OR(A5="Opening",A5="Addition",A5="Lease"),IF(K5&gt;0,(M5-J5)/K5,0),L5)</x:f>
        <x:v>5000</x:v>
      </x:c>
      <x:c r="O5" s="30" t="str">
        <x:v>Active</x:v>
      </x:c>
      <x:c r="P5" s="30" t="str">
        <x:v>Opening book value</x:v>
      </x:c>
      <x:c r="Q5" s="30" t="str">
        <x:v>Cost and AD tie to GL.</x:v>
      </x:c>
      <x:c r="R5" s="27"/>
      <x:c r="S5" s="27"/>
      <x:c r="T5" s="27"/>
      <x:c r="U5" s="27"/>
      <x:c r="V5" s="27"/>
      <x:c r="W5" s="27"/>
      <x:c r="X5" s="27"/>
      <x:c r="Y5" s="27"/>
      <x:c r="Z5" s="27"/>
      <x:c r="AA5" s="27"/>
      <x:c r="AB5" s="27"/>
    </x:row>
    <x:row r="6">
      <x:c r="A6" s="30" t="str">
        <x:v>Opening</x:v>
      </x:c>
      <x:c r="B6" s="30" t="str">
        <x:v>FA-2024-EQP-001</x:v>
      </x:c>
      <x:c r="C6" s="30" t="str">
        <x:v>Industrial Generator</x:v>
      </x:c>
      <x:c r="D6" s="30" t="str">
        <x:v>FA-EQP</x:v>
      </x:c>
      <x:c r="E6" s="30" t="str">
        <x:v>Opening asset</x:v>
      </x:c>
      <x:c r="F6" s="32" t="str">
        <x:v>2026-06-01</x:v>
      </x:c>
      <x:c r="G6" s="33" t="n">
        <x:v>150000</x:v>
      </x:c>
      <x:c r="H6" s="33" t="n">
        <x:v>10000</x:v>
      </x:c>
      <x:c r="I6" s="33" t="n">
        <x:v>0</x:v>
      </x:c>
      <x:c r="J6" s="33" t="n">
        <x:v>10000</x:v>
      </x:c>
      <x:c r="K6" s="33" t="n">
        <x:v>60</x:v>
      </x:c>
      <x:c r="L6" s="33"/>
      <x:c r="M6" s="33" t="n">
        <x:f>G6+H6</x:f>
        <x:v>160000</x:v>
      </x:c>
      <x:c r="N6" s="33" t="n">
        <x:f>IF(OR(A6="Opening",A6="Addition",A6="Lease"),IF(K6&gt;0,(M6-J6)/K6,0),L6)</x:f>
        <x:v>2500</x:v>
      </x:c>
      <x:c r="O6" s="30" t="str">
        <x:v>Active</x:v>
      </x:c>
      <x:c r="P6" s="30" t="str">
        <x:v>Opening book value</x:v>
      </x:c>
      <x:c r="Q6" s="30" t="str">
        <x:v>Serial GEN-500K-9988 if visible.</x:v>
      </x:c>
      <x:c r="R6" s="27"/>
      <x:c r="S6" s="27"/>
      <x:c r="T6" s="27"/>
      <x:c r="U6" s="27"/>
      <x:c r="V6" s="27"/>
      <x:c r="W6" s="27"/>
      <x:c r="X6" s="27"/>
      <x:c r="Y6" s="27"/>
      <x:c r="Z6" s="27"/>
      <x:c r="AA6" s="27"/>
      <x:c r="AB6" s="27"/>
    </x:row>
    <x:row r="7">
      <x:c r="A7" s="30" t="str">
        <x:v>Opening</x:v>
      </x:c>
      <x:c r="B7" s="30" t="str">
        <x:v>FA-2024-EQP-002</x:v>
      </x:c>
      <x:c r="C7" s="30" t="str">
        <x:v>Server Rack System</x:v>
      </x:c>
      <x:c r="D7" s="30" t="str">
        <x:v>FA-EQP</x:v>
      </x:c>
      <x:c r="E7" s="30" t="str">
        <x:v>Opening asset</x:v>
      </x:c>
      <x:c r="F7" s="32" t="str">
        <x:v>2026-06-01</x:v>
      </x:c>
      <x:c r="G7" s="33" t="n">
        <x:v>45000</x:v>
      </x:c>
      <x:c r="H7" s="33" t="n">
        <x:v>5000</x:v>
      </x:c>
      <x:c r="I7" s="33" t="n">
        <x:v>0</x:v>
      </x:c>
      <x:c r="J7" s="33" t="n">
        <x:v>0</x:v>
      </x:c>
      <x:c r="K7" s="33" t="n">
        <x:v>60</x:v>
      </x:c>
      <x:c r="L7" s="33"/>
      <x:c r="M7" s="33" t="n">
        <x:f>G7+H7</x:f>
        <x:v>50000</x:v>
      </x:c>
      <x:c r="N7" s="33" t="n">
        <x:f>IF(OR(A7="Opening",A7="Addition",A7="Lease"),IF(K7&gt;0,(M7-J7)/K7,0),L7)</x:f>
        <x:v>833.3333333333334</x:v>
      </x:c>
      <x:c r="O7" s="30" t="str">
        <x:v>Active</x:v>
      </x:c>
      <x:c r="P7" s="30" t="str">
        <x:v>Opening book value</x:v>
      </x:c>
      <x:c r="Q7" s="30" t="str">
        <x:v>Transfer and impairment target.</x:v>
      </x:c>
      <x:c r="R7" s="27"/>
      <x:c r="S7" s="27"/>
      <x:c r="T7" s="27"/>
      <x:c r="U7" s="27"/>
      <x:c r="V7" s="27"/>
      <x:c r="W7" s="27"/>
      <x:c r="X7" s="27"/>
      <x:c r="Y7" s="27"/>
      <x:c r="Z7" s="27"/>
      <x:c r="AA7" s="27"/>
      <x:c r="AB7" s="27"/>
    </x:row>
    <x:row r="8">
      <x:c r="A8" s="30" t="str">
        <x:v>Opening</x:v>
      </x:c>
      <x:c r="B8" s="30" t="str">
        <x:v>FA-2024-VEH-001</x:v>
      </x:c>
      <x:c r="C8" s="30" t="str">
        <x:v>Delivery Truck - Toyota Hilux</x:v>
      </x:c>
      <x:c r="D8" s="30" t="str">
        <x:v>FA-VEH</x:v>
      </x:c>
      <x:c r="E8" s="30" t="str">
        <x:v>Opening asset</x:v>
      </x:c>
      <x:c r="F8" s="32" t="str">
        <x:v>2026-06-01</x:v>
      </x:c>
      <x:c r="G8" s="33" t="n">
        <x:v>250000</x:v>
      </x:c>
      <x:c r="H8" s="33" t="n">
        <x:v>0</x:v>
      </x:c>
      <x:c r="I8" s="33" t="n">
        <x:v>0</x:v>
      </x:c>
      <x:c r="J8" s="33" t="n">
        <x:v>25000</x:v>
      </x:c>
      <x:c r="K8" s="33" t="n">
        <x:v>48</x:v>
      </x:c>
      <x:c r="L8" s="33"/>
      <x:c r="M8" s="33" t="n">
        <x:f>G8+H8</x:f>
        <x:v>250000</x:v>
      </x:c>
      <x:c r="N8" s="33" t="n">
        <x:f>IF(OR(A8="Opening",A8="Addition",A8="Lease"),IF(K8&gt;0,(M8-J8)/K8,0),L8)</x:f>
        <x:v>4687.5</x:v>
      </x:c>
      <x:c r="O8" s="30" t="str">
        <x:v>Active</x:v>
      </x:c>
      <x:c r="P8" s="30" t="str">
        <x:v>Opening book value</x:v>
      </x:c>
      <x:c r="Q8" s="30" t="str">
        <x:v>Disposal target.</x:v>
      </x:c>
      <x:c r="R8" s="27"/>
      <x:c r="S8" s="27"/>
      <x:c r="T8" s="27"/>
      <x:c r="U8" s="27"/>
      <x:c r="V8" s="27"/>
      <x:c r="W8" s="27"/>
      <x:c r="X8" s="27"/>
      <x:c r="Y8" s="27"/>
      <x:c r="Z8" s="27"/>
      <x:c r="AA8" s="27"/>
      <x:c r="AB8" s="27"/>
    </x:row>
    <x:row r="9">
      <x:c r="A9" s="30" t="str">
        <x:v>Addition</x:v>
      </x:c>
      <x:c r="B9" s="30" t="str">
        <x:v>FA-2026-EQP-003</x:v>
      </x:c>
      <x:c r="C9" s="30" t="str">
        <x:v>Network Security Appliance</x:v>
      </x:c>
      <x:c r="D9" s="30" t="str">
        <x:v>FA-EQP</x:v>
      </x:c>
      <x:c r="E9" s="30" t="str">
        <x:v>FA-ADD-001</x:v>
      </x:c>
      <x:c r="F9" s="32" t="str">
        <x:v>2026-06-08</x:v>
      </x:c>
      <x:c r="G9" s="33" t="n">
        <x:v>80000</x:v>
      </x:c>
      <x:c r="H9" s="33" t="n">
        <x:v>8000</x:v>
      </x:c>
      <x:c r="I9" s="33" t="n">
        <x:v>17600</x:v>
      </x:c>
      <x:c r="J9" s="33" t="n">
        <x:v>8800</x:v>
      </x:c>
      <x:c r="K9" s="33" t="n">
        <x:v>60</x:v>
      </x:c>
      <x:c r="L9" s="33"/>
      <x:c r="M9" s="33" t="n">
        <x:f>G9+H9</x:f>
        <x:v>88000</x:v>
      </x:c>
      <x:c r="N9" s="33" t="n">
        <x:f>IF(OR(A9="Opening",A9="Addition",A9="Lease"),IF(K9&gt;0,(M9-J9)/K9,0),L9)</x:f>
        <x:v>1320</x:v>
      </x:c>
      <x:c r="O9" s="30" t="str">
        <x:v>Capitalized</x:v>
      </x:c>
      <x:c r="P9" s="30" t="str">
        <x:v>AP capital asset invoice</x:v>
      </x:c>
      <x:c r="Q9" s="30" t="str">
        <x:v>Deductible tax should go to 2200, not acquisition cost.</x:v>
      </x:c>
      <x:c r="R9" s="27"/>
      <x:c r="S9" s="27"/>
      <x:c r="T9" s="27"/>
      <x:c r="U9" s="27"/>
      <x:c r="V9" s="27"/>
      <x:c r="W9" s="27"/>
      <x:c r="X9" s="27"/>
      <x:c r="Y9" s="27"/>
      <x:c r="Z9" s="27"/>
      <x:c r="AA9" s="27"/>
      <x:c r="AB9" s="27"/>
    </x:row>
    <x:row r="10">
      <x:c r="A10" s="30" t="str">
        <x:v>Depreciation</x:v>
      </x:c>
      <x:c r="B10" s="30" t="str">
        <x:v>ALL-ACTIVE</x:v>
      </x:c>
      <x:c r="C10" s="30" t="str">
        <x:v>June depreciation run</x:v>
      </x:c>
      <x:c r="D10" s="30" t="str">
        <x:v>Mixed</x:v>
      </x:c>
      <x:c r="E10" s="30" t="str">
        <x:v>FA-DEP-001</x:v>
      </x:c>
      <x:c r="F10" s="32" t="str">
        <x:v>2026-06-30</x:v>
      </x:c>
      <x:c r="G10" s="33" t="n">
        <x:v>0</x:v>
      </x:c>
      <x:c r="H10" s="33" t="n">
        <x:v>0</x:v>
      </x:c>
      <x:c r="I10" s="33" t="n">
        <x:v>0</x:v>
      </x:c>
      <x:c r="J10" s="33" t="n">
        <x:v>0</x:v>
      </x:c>
      <x:c r="K10" s="33" t="n">
        <x:v>0</x:v>
      </x:c>
      <x:c r="L10" s="33" t="n">
        <x:v>14340.83</x:v>
      </x:c>
      <x:c r="M10" s="33" t="n">
        <x:f>G10+H10</x:f>
        <x:v>0</x:v>
      </x:c>
      <x:c r="N10" s="33" t="n">
        <x:f>IF(OR(A10="Opening",A10="Addition",A10="Lease"),IF(K10&gt;0,(M10-J10)/K10,0),L10)</x:f>
        <x:v>14340.83</x:v>
      </x:c>
      <x:c r="O10" s="30" t="str">
        <x:v>Posted</x:v>
      </x:c>
      <x:c r="P10" s="30" t="str">
        <x:v>Dr 6300 / Cr 1590</x:v>
      </x:c>
      <x:c r="Q10" s="30" t="str">
        <x:v>No duplicate run for June.</x:v>
      </x:c>
      <x:c r="R10" s="27"/>
      <x:c r="S10" s="27"/>
      <x:c r="T10" s="27"/>
      <x:c r="U10" s="27"/>
      <x:c r="V10" s="27"/>
      <x:c r="W10" s="27"/>
      <x:c r="X10" s="27"/>
      <x:c r="Y10" s="27"/>
      <x:c r="Z10" s="27"/>
      <x:c r="AA10" s="27"/>
      <x:c r="AB10" s="27"/>
    </x:row>
    <x:row r="11">
      <x:c r="A11" s="30" t="str">
        <x:v>Transfer</x:v>
      </x:c>
      <x:c r="B11" s="30" t="str">
        <x:v>FA-2024-EQP-002</x:v>
      </x:c>
      <x:c r="C11" s="30" t="str">
        <x:v>Server Rack System</x:v>
      </x:c>
      <x:c r="D11" s="30" t="str">
        <x:v>FA-EQP</x:v>
      </x:c>
      <x:c r="E11" s="30" t="str">
        <x:v>FA-TRF-001</x:v>
      </x:c>
      <x:c r="F11" s="32" t="str">
        <x:v>2026-06-24</x:v>
      </x:c>
      <x:c r="G11" s="33" t="n">
        <x:v>0</x:v>
      </x:c>
      <x:c r="H11" s="33" t="n">
        <x:v>0</x:v>
      </x:c>
      <x:c r="I11" s="33" t="n">
        <x:v>0</x:v>
      </x:c>
      <x:c r="J11" s="33" t="n">
        <x:v>0</x:v>
      </x:c>
      <x:c r="K11" s="33" t="n">
        <x:v>0</x:v>
      </x:c>
      <x:c r="L11" s="33" t="n">
        <x:v>0</x:v>
      </x:c>
      <x:c r="M11" s="33" t="n">
        <x:f>G11+H11</x:f>
        <x:v>0</x:v>
      </x:c>
      <x:c r="N11" s="33" t="n">
        <x:f>IF(OR(A11="Opening",A11="Addition",A11="Lease"),IF(K11&gt;0,(M11-J11)/K11,0),L11)</x:f>
        <x:v>0</x:v>
      </x:c>
      <x:c r="O11" s="30" t="str">
        <x:v>Completed</x:v>
      </x:c>
      <x:c r="P11" s="30" t="str">
        <x:v>No GL expected if no transfer cost</x:v>
      </x:c>
      <x:c r="Q11" s="30" t="str">
        <x:v>Location/segment/custodian history preserved.</x:v>
      </x:c>
      <x:c r="R11" s="27"/>
      <x:c r="S11" s="27"/>
      <x:c r="T11" s="27"/>
      <x:c r="U11" s="27"/>
      <x:c r="V11" s="27"/>
      <x:c r="W11" s="27"/>
      <x:c r="X11" s="27"/>
      <x:c r="Y11" s="27"/>
      <x:c r="Z11" s="27"/>
      <x:c r="AA11" s="27"/>
      <x:c r="AB11" s="27"/>
    </x:row>
    <x:row r="12">
      <x:c r="A12" s="30" t="str">
        <x:v>Impairment</x:v>
      </x:c>
      <x:c r="B12" s="30" t="str">
        <x:v>FA-2024-EQP-002</x:v>
      </x:c>
      <x:c r="C12" s="30" t="str">
        <x:v>Server Rack System</x:v>
      </x:c>
      <x:c r="D12" s="30" t="str">
        <x:v>FA-EQP</x:v>
      </x:c>
      <x:c r="E12" s="30" t="str">
        <x:v>FA-VAL-001</x:v>
      </x:c>
      <x:c r="F12" s="32" t="str">
        <x:v>2026-06-26</x:v>
      </x:c>
      <x:c r="G12" s="33" t="n">
        <x:v>0</x:v>
      </x:c>
      <x:c r="H12" s="33" t="n">
        <x:v>0</x:v>
      </x:c>
      <x:c r="I12" s="33" t="n">
        <x:v>0</x:v>
      </x:c>
      <x:c r="J12" s="33" t="n">
        <x:v>0</x:v>
      </x:c>
      <x:c r="K12" s="33" t="n">
        <x:v>0</x:v>
      </x:c>
      <x:c r="L12" s="33" t="n">
        <x:v>10000</x:v>
      </x:c>
      <x:c r="M12" s="33" t="n">
        <x:f>G12+H12</x:f>
        <x:v>0</x:v>
      </x:c>
      <x:c r="N12" s="33" t="n">
        <x:f>IF(OR(A12="Opening",A12="Addition",A12="Lease"),IF(K12&gt;0,(M12-J12)/K12,0),L12)</x:f>
        <x:v>10000</x:v>
      </x:c>
      <x:c r="O12" s="30" t="str">
        <x:v>Posted</x:v>
      </x:c>
      <x:c r="P12" s="30" t="str">
        <x:v>Dr impairment expense / Cr carrying amount</x:v>
      </x:c>
      <x:c r="Q12" s="30" t="str">
        <x:v>Check configured impairment account or fallback behavior.</x:v>
      </x:c>
      <x:c r="R12" s="27"/>
      <x:c r="S12" s="27"/>
      <x:c r="T12" s="27"/>
      <x:c r="U12" s="27"/>
      <x:c r="V12" s="27"/>
      <x:c r="W12" s="27"/>
      <x:c r="X12" s="27"/>
      <x:c r="Y12" s="27"/>
      <x:c r="Z12" s="27"/>
      <x:c r="AA12" s="27"/>
      <x:c r="AB12" s="27"/>
    </x:row>
    <x:row r="13">
      <x:c r="A13" s="30" t="str">
        <x:v>Disposal</x:v>
      </x:c>
      <x:c r="B13" s="30" t="str">
        <x:v>FA-2024-VEH-001</x:v>
      </x:c>
      <x:c r="C13" s="30" t="str">
        <x:v>Delivery Truck - Toyota Hilux</x:v>
      </x:c>
      <x:c r="D13" s="30" t="str">
        <x:v>FA-VEH</x:v>
      </x:c>
      <x:c r="E13" s="30" t="str">
        <x:v>FA-DISP-001</x:v>
      </x:c>
      <x:c r="F13" s="32" t="str">
        <x:v>2026-06-28</x:v>
      </x:c>
      <x:c r="G13" s="33" t="n">
        <x:v>250000</x:v>
      </x:c>
      <x:c r="H13" s="33" t="n">
        <x:v>0</x:v>
      </x:c>
      <x:c r="I13" s="33" t="n">
        <x:v>0</x:v>
      </x:c>
      <x:c r="J13" s="33" t="n">
        <x:v>25000</x:v>
      </x:c>
      <x:c r="K13" s="33" t="n">
        <x:v>48</x:v>
      </x:c>
      <x:c r="L13" s="33" t="n">
        <x:v>7187.5</x:v>
      </x:c>
      <x:c r="M13" s="33" t="n">
        <x:f>G13+H13</x:f>
        <x:v>250000</x:v>
      </x:c>
      <x:c r="N13" s="33" t="n">
        <x:f>IF(OR(A13="Opening",A13="Addition",A13="Lease"),IF(K13&gt;0,(M13-J13)/K13,0),L13)</x:f>
        <x:v>7187.5</x:v>
      </x:c>
      <x:c r="O13" s="30" t="str">
        <x:v>Disposed</x:v>
      </x:c>
      <x:c r="P13" s="30" t="str">
        <x:v>Clear cost/AD and post 7,187.50 gain</x:v>
      </x:c>
      <x:c r="Q13" s="30" t="str">
        <x:v>Disposal should prevent further depreciation.</x:v>
      </x:c>
      <x:c r="R13" s="27"/>
      <x:c r="S13" s="27"/>
      <x:c r="T13" s="27"/>
      <x:c r="U13" s="27"/>
      <x:c r="V13" s="27"/>
      <x:c r="W13" s="27"/>
      <x:c r="X13" s="27"/>
      <x:c r="Y13" s="27"/>
      <x:c r="Z13" s="27"/>
      <x:c r="AA13" s="27"/>
      <x:c r="AB13" s="27"/>
    </x:row>
    <x:row r="14">
      <x:c r="A14" s="30" t="str">
        <x:v>Lease</x:v>
      </x:c>
      <x:c r="B14" s="30" t="str">
        <x:v>LEASE-2026-001</x:v>
      </x:c>
      <x:c r="C14" s="30" t="str">
        <x:v>Office Lease ROU Asset</x:v>
      </x:c>
      <x:c r="D14" s="30" t="str">
        <x:v>ROU fallback</x:v>
      </x:c>
      <x:c r="E14" s="30" t="str">
        <x:v>FA-LEASE-001</x:v>
      </x:c>
      <x:c r="F14" s="32" t="str">
        <x:v>2026-06-29</x:v>
      </x:c>
      <x:c r="G14" s="33" t="n">
        <x:v>300000</x:v>
      </x:c>
      <x:c r="H14" s="33" t="n">
        <x:v>0</x:v>
      </x:c>
      <x:c r="I14" s="33" t="n">
        <x:v>0</x:v>
      </x:c>
      <x:c r="J14" s="33" t="n">
        <x:v>0</x:v>
      </x:c>
      <x:c r="K14" s="33" t="n">
        <x:v>60</x:v>
      </x:c>
      <x:c r="L14" s="33"/>
      <x:c r="M14" s="33" t="n">
        <x:f>G14+H14</x:f>
        <x:v>300000</x:v>
      </x:c>
      <x:c r="N14" s="33" t="n">
        <x:f>IF(OR(A14="Opening",A14="Addition",A14="Lease"),IF(K14&gt;0,(M14-J14)/K14,0),L14)</x:f>
        <x:v>5000</x:v>
      </x:c>
      <x:c r="O14" s="30" t="str">
        <x:v>Recognized</x:v>
      </x:c>
      <x:c r="P14" s="30" t="str">
        <x:v>Dr ROU asset / Cr lease liability</x:v>
      </x:c>
      <x:c r="Q14" s="30" t="str">
        <x:v>Missing lease accounts should block posting clearly.</x:v>
      </x:c>
      <x:c r="R14" s="27"/>
      <x:c r="S14" s="27"/>
      <x:c r="T14" s="27"/>
      <x:c r="U14" s="27"/>
      <x:c r="V14" s="27"/>
      <x:c r="W14" s="27"/>
      <x:c r="X14" s="27"/>
      <x:c r="Y14" s="27"/>
      <x:c r="Z14" s="27"/>
      <x:c r="AA14" s="27"/>
      <x:c r="AB14" s="27"/>
    </x:row>
    <x:row r="15">
      <x:c r="A15" s="30" t="str">
        <x:v>Lease Payment</x:v>
      </x:c>
      <x:c r="B15" s="30" t="str">
        <x:v>LEASE-2026-001</x:v>
      </x:c>
      <x:c r="C15" s="30" t="str">
        <x:v>Office Lease ROU Asset</x:v>
      </x:c>
      <x:c r="D15" s="30" t="str">
        <x:v>ROU fallback</x:v>
      </x:c>
      <x:c r="E15" s="30" t="str">
        <x:v>FA-LEASE-PMT-001</x:v>
      </x:c>
      <x:c r="F15" s="32" t="str">
        <x:v>2026-06-30</x:v>
      </x:c>
      <x:c r="G15" s="33" t="n">
        <x:v>0</x:v>
      </x:c>
      <x:c r="H15" s="33" t="n">
        <x:v>0</x:v>
      </x:c>
      <x:c r="I15" s="33" t="n">
        <x:v>0</x:v>
      </x:c>
      <x:c r="J15" s="33" t="n">
        <x:v>0</x:v>
      </x:c>
      <x:c r="K15" s="33" t="n">
        <x:v>0</x:v>
      </x:c>
      <x:c r="L15" s="33" t="n">
        <x:v>6000</x:v>
      </x:c>
      <x:c r="M15" s="33" t="n">
        <x:f>G15+H15</x:f>
        <x:v>0</x:v>
      </x:c>
      <x:c r="N15" s="33" t="n">
        <x:f>IF(OR(A15="Opening",A15="Addition",A15="Lease"),IF(K15&gt;0,(M15-J15)/K15,0),L15)</x:f>
        <x:v>6000</x:v>
      </x:c>
      <x:c r="O15" s="30" t="str">
        <x:v>Posted</x:v>
      </x:c>
      <x:c r="P15" s="30" t="str">
        <x:v>Principal 4,500; interest 1,500</x:v>
      </x:c>
      <x:c r="Q15" s="30" t="str">
        <x:v>Lease schedule remaining liability should reconcile.</x:v>
      </x:c>
      <x:c r="R15" s="27"/>
      <x:c r="S15" s="27"/>
      <x:c r="T15" s="27"/>
      <x:c r="U15" s="27"/>
      <x:c r="V15" s="27"/>
      <x:c r="W15" s="27"/>
      <x:c r="X15" s="27"/>
      <x:c r="Y15" s="27"/>
      <x:c r="Z15" s="27"/>
      <x:c r="AA15" s="27"/>
      <x:c r="AB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  <x:c r="AA16" s="27"/>
      <x:c r="AB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  <x:c r="AA17" s="27"/>
      <x:c r="AB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  <x:c r="AA18" s="27"/>
      <x:c r="AB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  <x:c r="AA19" s="27"/>
      <x:c r="AB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  <x:c r="AA20" s="27"/>
      <x:c r="AB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  <x:c r="AA21" s="27"/>
      <x:c r="AB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  <x:c r="AA22" s="27"/>
      <x:c r="AB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  <x:c r="AA23" s="27"/>
      <x:c r="AB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  <x:c r="AA24" s="27"/>
      <x:c r="AB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  <x:c r="AA25" s="27"/>
      <x:c r="AB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  <x:c r="AA26" s="27"/>
      <x:c r="AB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  <x:c r="AA27" s="27"/>
      <x:c r="AB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  <x:c r="AA28" s="27"/>
      <x:c r="AB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  <x:c r="AA29" s="27"/>
      <x:c r="AB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  <x:c r="AA30" s="27"/>
      <x:c r="AB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  <x:c r="AA31" s="27"/>
      <x:c r="AB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  <x:c r="AA32" s="27"/>
      <x:c r="AB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  <x:c r="AA33" s="27"/>
      <x:c r="AB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  <x:c r="AA34" s="27"/>
      <x:c r="AB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  <x:c r="AA35" s="27"/>
      <x:c r="AB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  <x:c r="AA36" s="27"/>
      <x:c r="AB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  <x:c r="AA37" s="27"/>
      <x:c r="AB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  <x:c r="AA38" s="27"/>
      <x:c r="AB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  <x:c r="AA39" s="27"/>
      <x:c r="AB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  <x:c r="AA40" s="27"/>
      <x:c r="AB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  <x:c r="AA41" s="27"/>
      <x:c r="AB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  <x:c r="AA42" s="27"/>
      <x:c r="AB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  <x:c r="AA43" s="27"/>
      <x:c r="AB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  <x:c r="AA44" s="27"/>
      <x:c r="AB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  <x:c r="AA45" s="27"/>
      <x:c r="AB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  <x:c r="AA46" s="27"/>
      <x:c r="AB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  <x:c r="AA47" s="27"/>
      <x:c r="AB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  <x:c r="AA48" s="27"/>
      <x:c r="AB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  <x:c r="AA49" s="27"/>
      <x:c r="AB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  <x:c r="AA50" s="27"/>
      <x:c r="AB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  <x:c r="AA51" s="27"/>
      <x:c r="AB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  <x:c r="AA52" s="27"/>
      <x:c r="AB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  <x:c r="AA53" s="27"/>
      <x:c r="AB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  <x:c r="AA54" s="27"/>
      <x:c r="AB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  <x:c r="AA55" s="27"/>
      <x:c r="AB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  <x:c r="AA56" s="27"/>
      <x:c r="AB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  <x:c r="AA57" s="27"/>
      <x:c r="AB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  <x:c r="AA58" s="27"/>
      <x:c r="AB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  <x:c r="AA59" s="27"/>
      <x:c r="AB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  <x:c r="AA60" s="27"/>
      <x:c r="AB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  <x:c r="AA61" s="27"/>
      <x:c r="AB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  <x:c r="AA62" s="27"/>
      <x:c r="AB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  <x:c r="AA63" s="27"/>
      <x:c r="AB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  <x:c r="AA64" s="27"/>
      <x:c r="AB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  <x:c r="AA65" s="27"/>
      <x:c r="AB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  <x:c r="AA66" s="27"/>
      <x:c r="AB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  <x:c r="AA67" s="27"/>
      <x:c r="AB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  <x:c r="AA68" s="27"/>
      <x:c r="AB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  <x:c r="AA69" s="27"/>
      <x:c r="AB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  <x:c r="AA70" s="27"/>
      <x:c r="AB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  <x:c r="AA71" s="27"/>
      <x:c r="AB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  <x:c r="AA72" s="27"/>
      <x:c r="AB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  <x:c r="AA73" s="27"/>
      <x:c r="AB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  <x:c r="AA74" s="27"/>
      <x:c r="AB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  <x:c r="AA75" s="27"/>
      <x:c r="AB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  <x:c r="AA76" s="27"/>
      <x:c r="AB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  <x:c r="AA77" s="27"/>
      <x:c r="AB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  <x:c r="AA78" s="27"/>
      <x:c r="AB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  <x:c r="AA79" s="27"/>
      <x:c r="AB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  <x:c r="AA80" s="27"/>
      <x:c r="AB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  <x:c r="AA81" s="27"/>
      <x:c r="AB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  <x:c r="AA82" s="27"/>
      <x:c r="AB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  <x:c r="AA83" s="27"/>
      <x:c r="AB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  <x:c r="AA84" s="27"/>
      <x:c r="AB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  <x:c r="AA85" s="27"/>
      <x:c r="AB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  <x:c r="AA86" s="27"/>
      <x:c r="AB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  <x:c r="AA87" s="27"/>
      <x:c r="AB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  <x:c r="AA88" s="27"/>
      <x:c r="AB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  <x:c r="AA89" s="27"/>
      <x:c r="AB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  <x:c r="AA90" s="27"/>
      <x:c r="AB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  <x:c r="AA91" s="27"/>
      <x:c r="AB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  <x:c r="AA92" s="27"/>
      <x:c r="AB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  <x:c r="AA93" s="27"/>
      <x:c r="AB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  <x:c r="AA94" s="27"/>
      <x:c r="AB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  <x:c r="AA95" s="27"/>
      <x:c r="AB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  <x:c r="AA96" s="27"/>
      <x:c r="AB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  <x:c r="AA97" s="27"/>
      <x:c r="AB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  <x:c r="AA98" s="27"/>
      <x:c r="AB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  <x:c r="AA99" s="27"/>
      <x:c r="AB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  <x:c r="AA100" s="27"/>
      <x:c r="AB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  <x:c r="AA101" s="27"/>
      <x:c r="AB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  <x:c r="AA102" s="27"/>
      <x:c r="AB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  <x:c r="AA103" s="27"/>
      <x:c r="AB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  <x:c r="AA104" s="27"/>
      <x:c r="AB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  <x:c r="AA105" s="27"/>
      <x:c r="AB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  <x:c r="AA106" s="27"/>
      <x:c r="AB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  <x:c r="AA107" s="27"/>
      <x:c r="AB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  <x:c r="AA108" s="27"/>
      <x:c r="AB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  <x:c r="AA109" s="27"/>
      <x:c r="AB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  <x:c r="AA110" s="27"/>
      <x:c r="AB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  <x:c r="AA111" s="27"/>
      <x:c r="AB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  <x:c r="AA112" s="27"/>
      <x:c r="AB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  <x:c r="AA113" s="27"/>
      <x:c r="AB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  <x:c r="AA114" s="27"/>
      <x:c r="AB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  <x:c r="AA115" s="27"/>
      <x:c r="AB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  <x:c r="AA116" s="27"/>
      <x:c r="AB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  <x:c r="AA117" s="27"/>
      <x:c r="AB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  <x:c r="AA118" s="27"/>
      <x:c r="AB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  <x:c r="AA119" s="27"/>
      <x:c r="AB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  <x:c r="AA120" s="27"/>
      <x:c r="AB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  <x:c r="AA121" s="27"/>
      <x:c r="AB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  <x:c r="AA122" s="27"/>
      <x:c r="AB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  <x:c r="AA123" s="27"/>
      <x:c r="AB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  <x:c r="AA124" s="27"/>
      <x:c r="AB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  <x:c r="AA125" s="27"/>
      <x:c r="AB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  <x:c r="AA126" s="27"/>
      <x:c r="AB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  <x:c r="AA127" s="27"/>
      <x:c r="AB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  <x:c r="AA128" s="27"/>
      <x:c r="AB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  <x:c r="AA129" s="27"/>
      <x:c r="AB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  <x:c r="AA130" s="27"/>
      <x:c r="AB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  <x:c r="AA131" s="27"/>
      <x:c r="AB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  <x:c r="AA132" s="27"/>
      <x:c r="AB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  <x:c r="AA133" s="27"/>
      <x:c r="AB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  <x:c r="AA134" s="27"/>
      <x:c r="AB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  <x:c r="AA135" s="27"/>
      <x:c r="AB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  <x:c r="AA136" s="27"/>
      <x:c r="AB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  <x:c r="AA137" s="27"/>
      <x:c r="AB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  <x:c r="AA138" s="27"/>
      <x:c r="AB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  <x:c r="AA139" s="27"/>
      <x:c r="AB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  <x:c r="AA140" s="27"/>
      <x:c r="AB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  <x:c r="AA141" s="27"/>
      <x:c r="AB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  <x:c r="AA142" s="27"/>
      <x:c r="AB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  <x:c r="AA143" s="27"/>
      <x:c r="AB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  <x:c r="AA144" s="27"/>
      <x:c r="AB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  <x:c r="AA145" s="27"/>
      <x:c r="AB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  <x:c r="AA146" s="27"/>
      <x:c r="AB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  <x:c r="AA147" s="27"/>
      <x:c r="AB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  <x:c r="AA148" s="27"/>
      <x:c r="AB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  <x:c r="AA149" s="27"/>
      <x:c r="AB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  <x:c r="AA150" s="27"/>
      <x:c r="AB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  <x:c r="AA151" s="27"/>
      <x:c r="AB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  <x:c r="AA152" s="27"/>
      <x:c r="AB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  <x:c r="AA153" s="27"/>
      <x:c r="AB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  <x:c r="AA154" s="27"/>
      <x:c r="AB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  <x:c r="AA155" s="27"/>
      <x:c r="AB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  <x:c r="AA156" s="27"/>
      <x:c r="AB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  <x:c r="AA157" s="27"/>
      <x:c r="AB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  <x:c r="AA158" s="27"/>
      <x:c r="AB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  <x:c r="AA159" s="27"/>
      <x:c r="AB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  <x:c r="AA160" s="27"/>
      <x:c r="AB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  <x:c r="AA161" s="27"/>
      <x:c r="AB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  <x:c r="AA162" s="27"/>
      <x:c r="AB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  <x:c r="AA163" s="27"/>
      <x:c r="AB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  <x:c r="AA164" s="27"/>
      <x:c r="AB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  <x:c r="AA165" s="27"/>
      <x:c r="AB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  <x:c r="AA166" s="27"/>
      <x:c r="AB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  <x:c r="AA167" s="27"/>
      <x:c r="AB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  <x:c r="AA168" s="27"/>
      <x:c r="AB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  <x:c r="AA169" s="27"/>
      <x:c r="AB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  <x:c r="AA170" s="27"/>
      <x:c r="AB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  <x:c r="AA171" s="27"/>
      <x:c r="AB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  <x:c r="AA172" s="27"/>
      <x:c r="AB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  <x:c r="AA173" s="27"/>
      <x:c r="AB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  <x:c r="AA174" s="27"/>
      <x:c r="AB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  <x:c r="AA175" s="27"/>
      <x:c r="AB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  <x:c r="AA176" s="27"/>
      <x:c r="AB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  <x:c r="AA177" s="27"/>
      <x:c r="AB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  <x:c r="AA178" s="27"/>
      <x:c r="AB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  <x:c r="AA179" s="27"/>
      <x:c r="AB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  <x:c r="AA180" s="27"/>
      <x:c r="AB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  <x:c r="AA181" s="27"/>
      <x:c r="AB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  <x:c r="AA182" s="27"/>
      <x:c r="AB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  <x:c r="AA183" s="27"/>
      <x:c r="AB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  <x:c r="AA184" s="27"/>
      <x:c r="AB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  <x:c r="AA185" s="27"/>
      <x:c r="AB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  <x:c r="AA186" s="27"/>
      <x:c r="AB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  <x:c r="AA187" s="27"/>
      <x:c r="AB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  <x:c r="AA188" s="27"/>
      <x:c r="AB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  <x:c r="AA189" s="27"/>
      <x:c r="AB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  <x:c r="AA190" s="27"/>
      <x:c r="AB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  <x:c r="AA191" s="27"/>
      <x:c r="AB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  <x:c r="AA192" s="27"/>
      <x:c r="AB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  <x:c r="AA193" s="27"/>
      <x:c r="AB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  <x:c r="AA194" s="27"/>
      <x:c r="AB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  <x:c r="AA195" s="27"/>
      <x:c r="AB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  <x:c r="AA196" s="27"/>
      <x:c r="AB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  <x:c r="AA197" s="27"/>
      <x:c r="AB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  <x:c r="AA198" s="27"/>
      <x:c r="AB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  <x:c r="AA199" s="27"/>
      <x:c r="AB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  <x:c r="AA200" s="27"/>
      <x:c r="AB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  <x:c r="AA201" s="27"/>
      <x:c r="AB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  <x:c r="AA202" s="27"/>
      <x:c r="AB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  <x:c r="AA203" s="27"/>
      <x:c r="AB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  <x:c r="AA204" s="27"/>
      <x:c r="AB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  <x:c r="AA205" s="27"/>
      <x:c r="AB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  <x:c r="Z206" s="27"/>
      <x:c r="AA206" s="27"/>
      <x:c r="AB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  <x:c r="Z207" s="27"/>
      <x:c r="AA207" s="27"/>
      <x:c r="AB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  <x:c r="Z208" s="27"/>
      <x:c r="AA208" s="27"/>
      <x:c r="AB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  <x:c r="Z209" s="27"/>
      <x:c r="AA209" s="27"/>
      <x:c r="AB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  <x:c r="Z210" s="27"/>
      <x:c r="AA210" s="27"/>
      <x:c r="AB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  <x:c r="Z211" s="27"/>
      <x:c r="AA211" s="27"/>
      <x:c r="AB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  <x:c r="Z212" s="27"/>
      <x:c r="AA212" s="27"/>
      <x:c r="AB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  <x:c r="Z213" s="27"/>
      <x:c r="AA213" s="27"/>
      <x:c r="AB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  <x:c r="Z214" s="27"/>
      <x:c r="AA214" s="27"/>
      <x:c r="AB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  <x:c r="Z215" s="27"/>
      <x:c r="AA215" s="27"/>
      <x:c r="AB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  <x:c r="Z216" s="27"/>
      <x:c r="AA216" s="27"/>
      <x:c r="AB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  <x:c r="Z217" s="27"/>
      <x:c r="AA217" s="27"/>
      <x:c r="AB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  <x:c r="Z218" s="27"/>
      <x:c r="AA218" s="27"/>
      <x:c r="AB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  <x:c r="Z219" s="27"/>
      <x:c r="AA219" s="27"/>
      <x:c r="AB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  <x:c r="Z220" s="27"/>
      <x:c r="AA220" s="27"/>
      <x:c r="AB220" s="2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34" hidden="0" customWidth="1"/>
    <x:col min="4" max="4" width="14" hidden="0" customWidth="1"/>
    <x:col min="5" max="5" width="10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5" hidden="0" customWidth="1"/>
    <x:col min="11" max="11" width="58" hidden="0" customWidth="1"/>
  </x:cols>
  <x:sheetData>
    <x:row r="1" ht="28" customHeight="1">
      <x:c r="A1" s="26" t="str">
        <x:v>Budgeting, Unit Accounting, Ratios and Allocations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  <x:c r="AA1" s="27"/>
      <x:c r="AB1" s="27"/>
    </x:row>
    <x:row r="2" ht="46" customHeight="1">
      <x:c r="A2" s="28" t="str">
        <x:v>Financial budget vs actual and unit budget variance rows. Actual financial values pull from Expected_GL.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</x:row>
    <x:row r="4">
      <x:c r="A4" s="31" t="str">
        <x:v>Area</x:v>
      </x:c>
      <x:c r="B4" s="31" t="str">
        <x:v>Code</x:v>
      </x:c>
      <x:c r="C4" s="31" t="str">
        <x:v>Name</x:v>
      </x:c>
      <x:c r="D4" s="31" t="str">
        <x:v>Period</x:v>
      </x:c>
      <x:c r="E4" s="31" t="str">
        <x:v>Dept</x:v>
      </x:c>
      <x:c r="F4" s="31" t="str">
        <x:v>Budget</x:v>
      </x:c>
      <x:c r="G4" s="31" t="str">
        <x:v>Actual</x:v>
      </x:c>
      <x:c r="H4" s="31" t="str">
        <x:v>Variance</x:v>
      </x:c>
      <x:c r="I4" s="31" t="str">
        <x:v>Variance %</x:v>
      </x:c>
      <x:c r="J4" s="31" t="str">
        <x:v>Status</x:v>
      </x:c>
      <x:c r="K4" s="31" t="str">
        <x:v>Notes</x:v>
      </x:c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  <x:c r="AA4" s="27"/>
      <x:c r="AB4" s="27"/>
    </x:row>
    <x:row r="5">
      <x:c r="A5" s="30" t="str">
        <x:v>Financial Budget</x:v>
      </x:c>
      <x:c r="B5" s="30" t="str">
        <x:v>4100</x:v>
      </x:c>
      <x:c r="C5" s="30" t="str">
        <x:v>Service Revenue</x:v>
      </x:c>
      <x:c r="D5" s="30" t="str">
        <x:v>June 2026</x:v>
      </x:c>
      <x:c r="E5" s="30" t="str">
        <x:v>100</x:v>
      </x:c>
      <x:c r="F5" s="33" t="n">
        <x:v>140000</x:v>
      </x:c>
      <x:c r="G5" s="33" t="n">
        <x:f>SUMIFS('Expected_GL'!$H$5:$H$200,'Expected_GL'!$E$5:$E$200,"000-4100-0000",'Expected_GL'!$G$5:$G$200,"CR")-SUMIFS('Expected_GL'!$H$5:$H$200,'Expected_GL'!$E$5:$E$200,"000-4100-0000",'Expected_GL'!$G$5:$G$200,"DR")</x:f>
        <x:v>125000</x:v>
      </x:c>
      <x:c r="H5" s="33" t="n">
        <x:f>G5-F5</x:f>
        <x:v>-15000</x:v>
      </x:c>
      <x:c r="I5" s="34" t="n">
        <x:f>IF(F5=0,0,H5/F5)</x:f>
        <x:v>-0.10714285714285714</x:v>
      </x:c>
      <x:c r="J5" s="30" t="str">
        <x:f>IF(ABS(H5)&lt;0.01,"On Budget",IF(H5&gt;0,"Over/Above","Under/Below"))</x:f>
        <x:v>Under/Below</x:v>
      </x:c>
      <x:c r="K5" s="30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  <x:c r="AB5" s="27"/>
    </x:row>
    <x:row r="6">
      <x:c r="A6" s="30" t="str">
        <x:v>Financial Budget</x:v>
      </x:c>
      <x:c r="B6" s="30" t="str">
        <x:v>6200</x:v>
      </x:c>
      <x:c r="C6" s="30" t="str">
        <x:v>Utilities Expense</x:v>
      </x:c>
      <x:c r="D6" s="30" t="str">
        <x:v>June 2026</x:v>
      </x:c>
      <x:c r="E6" s="30" t="str">
        <x:v>200</x:v>
      </x:c>
      <x:c r="F6" s="33" t="n">
        <x:v>15000</x:v>
      </x:c>
      <x:c r="G6" s="33" t="n">
        <x:f>SUMIFS('Expected_GL'!$H$5:$H$200,'Expected_GL'!$E$5:$E$200,"000-6200-0000",'Expected_GL'!$G$5:$G$200,"DR")-SUMIFS('Expected_GL'!$H$5:$H$200,'Expected_GL'!$E$5:$E$200,"000-6200-0000",'Expected_GL'!$G$5:$G$200,"CR")</x:f>
        <x:v>12000</x:v>
      </x:c>
      <x:c r="H6" s="33" t="n">
        <x:f>G6-F6</x:f>
        <x:v>-3000</x:v>
      </x:c>
      <x:c r="I6" s="34" t="n">
        <x:f>IF(F6=0,0,H6/F6)</x:f>
        <x:v>-0.2</x:v>
      </x:c>
      <x:c r="J6" s="30" t="str">
        <x:f>IF(ABS(H6)&lt;0.01,"On Budget",IF(H6&gt;0,"Over/Above","Under/Below"))</x:f>
        <x:v>Under/Below</x:v>
      </x:c>
      <x:c r="K6" s="30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  <x:c r="AA6" s="27"/>
      <x:c r="AB6" s="27"/>
    </x:row>
    <x:row r="7">
      <x:c r="A7" s="30" t="str">
        <x:v>Financial Budget</x:v>
      </x:c>
      <x:c r="B7" s="30" t="str">
        <x:v>6300</x:v>
      </x:c>
      <x:c r="C7" s="30" t="str">
        <x:v>Depreciation Expense</x:v>
      </x:c>
      <x:c r="D7" s="30" t="str">
        <x:v>June 2026</x:v>
      </x:c>
      <x:c r="E7" s="30" t="str">
        <x:v>000</x:v>
      </x:c>
      <x:c r="F7" s="33" t="n">
        <x:v>15000</x:v>
      </x:c>
      <x:c r="G7" s="33" t="n">
        <x:f>SUMIFS('Expected_GL'!$H$5:$H$200,'Expected_GL'!$E$5:$E$200,"000-6300-0000",'Expected_GL'!$G$5:$G$200,"DR")-SUMIFS('Expected_GL'!$H$5:$H$200,'Expected_GL'!$E$5:$E$200,"000-6300-0000",'Expected_GL'!$G$5:$G$200,"CR")</x:f>
        <x:v>24340.83</x:v>
      </x:c>
      <x:c r="H7" s="33" t="n">
        <x:f>G7-F7</x:f>
        <x:v>9340.830000000002</x:v>
      </x:c>
      <x:c r="I7" s="34" t="n">
        <x:f>IF(F7=0,0,H7/F7)</x:f>
        <x:v>0.6227220000000001</x:v>
      </x:c>
      <x:c r="J7" s="30" t="str">
        <x:f>IF(ABS(H7)&lt;0.01,"On Budget",IF(H7&gt;0,"Over/Above","Under/Below"))</x:f>
        <x:v>Over/Above</x:v>
      </x:c>
      <x:c r="K7" s="30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  <x:c r="AA7" s="27"/>
      <x:c r="AB7" s="27"/>
    </x:row>
    <x:row r="8">
      <x:c r="A8" s="30" t="str">
        <x:v>Financial Budget</x:v>
      </x:c>
      <x:c r="B8" s="30" t="str">
        <x:v>6500</x:v>
      </x:c>
      <x:c r="C8" s="30" t="str">
        <x:v>Professional Fees</x:v>
      </x:c>
      <x:c r="D8" s="30" t="str">
        <x:v>June 2026</x:v>
      </x:c>
      <x:c r="E8" s="30" t="str">
        <x:v>100</x:v>
      </x:c>
      <x:c r="F8" s="33" t="n">
        <x:v>25000</x:v>
      </x:c>
      <x:c r="G8" s="33" t="n">
        <x:f>SUMIFS('Expected_GL'!$H$5:$H$200,'Expected_GL'!$E$5:$E$200,"000-6500-0000",'Expected_GL'!$G$5:$G$200,"DR")-SUMIFS('Expected_GL'!$H$5:$H$200,'Expected_GL'!$E$5:$E$200,"000-6500-0000",'Expected_GL'!$G$5:$G$200,"CR")</x:f>
        <x:v>64750</x:v>
      </x:c>
      <x:c r="H8" s="33" t="n">
        <x:f>G8-F8</x:f>
        <x:v>39750</x:v>
      </x:c>
      <x:c r="I8" s="34" t="n">
        <x:f>IF(F8=0,0,H8/F8)</x:f>
        <x:v>1.59</x:v>
      </x:c>
      <x:c r="J8" s="30" t="str">
        <x:f>IF(ABS(H8)&lt;0.01,"On Budget",IF(H8&gt;0,"Over/Above","Under/Below"))</x:f>
        <x:v>Over/Above</x:v>
      </x:c>
      <x:c r="K8" s="30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  <x:c r="AA8" s="27"/>
      <x:c r="AB8" s="27"/>
    </x:row>
    <x:row r="9">
      <x:c r="A9" s="30" t="str">
        <x:v>Financial Budget</x:v>
      </x:c>
      <x:c r="B9" s="30" t="str">
        <x:v>1200</x:v>
      </x:c>
      <x:c r="C9" s="30" t="str">
        <x:v>Inventory Additions</x:v>
      </x:c>
      <x:c r="D9" s="30" t="str">
        <x:v>June 2026</x:v>
      </x:c>
      <x:c r="E9" s="30" t="str">
        <x:v>300</x:v>
      </x:c>
      <x:c r="F9" s="33" t="n">
        <x:v>30000</x:v>
      </x:c>
      <x:c r="G9" s="33" t="n">
        <x:f>SUMIFS('Expected_GL'!$H$5:$H$200,'Expected_GL'!$E$5:$E$200,"000-1200-0000",'Expected_GL'!$G$5:$G$200,"DR")-SUMIFS('Expected_GL'!$H$5:$H$200,'Expected_GL'!$E$5:$E$200,"000-1200-0000",'Expected_GL'!$G$5:$G$200,"CR")</x:f>
        <x:v>340000</x:v>
      </x:c>
      <x:c r="H9" s="33" t="n">
        <x:f>G9-F9</x:f>
        <x:v>310000</x:v>
      </x:c>
      <x:c r="I9" s="34" t="n">
        <x:f>IF(F9=0,0,H9/F9)</x:f>
        <x:v>10.333333333333334</x:v>
      </x:c>
      <x:c r="J9" s="30" t="str">
        <x:f>IF(ABS(H9)&lt;0.01,"On Budget",IF(H9&gt;0,"Over/Above","Under/Below"))</x:f>
        <x:v>Over/Above</x:v>
      </x:c>
      <x:c r="K9" s="30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  <x:c r="AA9" s="27"/>
      <x:c r="AB9" s="27"/>
    </x:row>
    <x:row r="10">
      <x:c r="A10" s="30" t="str">
        <x:v>Unit Budget</x:v>
      </x:c>
      <x:c r="B10" s="30" t="str">
        <x:v>U-1100</x:v>
      </x:c>
      <x:c r="C10" s="30" t="str">
        <x:v>Finance &amp; Admin Employees</x:v>
      </x:c>
      <x:c r="D10" s="30" t="str">
        <x:v>June 2026</x:v>
      </x:c>
      <x:c r="E10" s="30" t="str">
        <x:v>100</x:v>
      </x:c>
      <x:c r="F10" s="33" t="n">
        <x:v>12</x:v>
      </x:c>
      <x:c r="G10" s="33" t="n">
        <x:v>13</x:v>
      </x:c>
      <x:c r="H10" s="33" t="n">
        <x:f>G10-F10</x:f>
        <x:v>1</x:v>
      </x:c>
      <x:c r="I10" s="34" t="n">
        <x:f>IF(F10=0,0,H10/F10)</x:f>
        <x:v>0.08333333333333333</x:v>
      </x:c>
      <x:c r="J10" s="30" t="str">
        <x:f>IF(ABS(H10)&lt;0.01,"On Budget",IF(H10&gt;0,"Over/Above","Under/Below"))</x:f>
        <x:v>Over/Above</x:v>
      </x:c>
      <x:c r="K10" s="30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  <x:c r="AA10" s="27"/>
      <x:c r="AB10" s="27"/>
    </x:row>
    <x:row r="11">
      <x:c r="A11" s="30" t="str">
        <x:v>Unit Budget</x:v>
      </x:c>
      <x:c r="B11" s="30" t="str">
        <x:v>U-1200</x:v>
      </x:c>
      <x:c r="C11" s="30" t="str">
        <x:v>Development &amp; Engineering Employees</x:v>
      </x:c>
      <x:c r="D11" s="30" t="str">
        <x:v>June 2026</x:v>
      </x:c>
      <x:c r="E11" s="30" t="str">
        <x:v>300</x:v>
      </x:c>
      <x:c r="F11" s="33" t="n">
        <x:v>45</x:v>
      </x:c>
      <x:c r="G11" s="33" t="n">
        <x:v>47</x:v>
      </x:c>
      <x:c r="H11" s="33" t="n">
        <x:f>G11-F11</x:f>
        <x:v>2</x:v>
      </x:c>
      <x:c r="I11" s="34" t="n">
        <x:f>IF(F11=0,0,H11/F11)</x:f>
        <x:v>0.044444444444444446</x:v>
      </x:c>
      <x:c r="J11" s="30" t="str">
        <x:f>IF(ABS(H11)&lt;0.01,"On Budget",IF(H11&gt;0,"Over/Above","Under/Below"))</x:f>
        <x:v>Over/Above</x:v>
      </x:c>
      <x:c r="K11" s="30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  <x:c r="AA11" s="27"/>
      <x:c r="AB11" s="27"/>
    </x:row>
    <x:row r="12">
      <x:c r="A12" s="30" t="str">
        <x:v>Unit Budget</x:v>
      </x:c>
      <x:c r="B12" s="30" t="str">
        <x:v>U-1300</x:v>
      </x:c>
      <x:c r="C12" s="30" t="str">
        <x:v>Estates Management Employees</x:v>
      </x:c>
      <x:c r="D12" s="30" t="str">
        <x:v>June 2026</x:v>
      </x:c>
      <x:c r="E12" s="30" t="str">
        <x:v>200</x:v>
      </x:c>
      <x:c r="F12" s="33" t="n">
        <x:v>28</x:v>
      </x:c>
      <x:c r="G12" s="33" t="n">
        <x:v>27</x:v>
      </x:c>
      <x:c r="H12" s="33" t="n">
        <x:f>G12-F12</x:f>
        <x:v>-1</x:v>
      </x:c>
      <x:c r="I12" s="34" t="n">
        <x:f>IF(F12=0,0,H12/F12)</x:f>
        <x:v>-0.03571428571428571</x:v>
      </x:c>
      <x:c r="J12" s="30" t="str">
        <x:f>IF(ABS(H12)&lt;0.01,"On Budget",IF(H12&gt;0,"Over/Above","Under/Below"))</x:f>
        <x:v>Under/Below</x:v>
      </x:c>
      <x:c r="K12" s="30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  <x:c r="AA12" s="27"/>
      <x:c r="AB12" s="27"/>
    </x:row>
    <x:row r="13">
      <x:c r="A13" s="30" t="str">
        <x:v>Unit Budget</x:v>
      </x:c>
      <x:c r="B13" s="30" t="str">
        <x:v>U-2100</x:v>
      </x:c>
      <x:c r="C13" s="30" t="str">
        <x:v>Headquarters Office Space</x:v>
      </x:c>
      <x:c r="D13" s="30" t="str">
        <x:v>June 2026</x:v>
      </x:c>
      <x:c r="E13" s="30" t="str">
        <x:v>100</x:v>
      </x:c>
      <x:c r="F13" s="33" t="n">
        <x:v>15000</x:v>
      </x:c>
      <x:c r="G13" s="33" t="n">
        <x:v>15000</x:v>
      </x:c>
      <x:c r="H13" s="33" t="n">
        <x:f>G13-F13</x:f>
        <x:v>0</x:v>
      </x:c>
      <x:c r="I13" s="34" t="n">
        <x:f>IF(F13=0,0,H13/F13)</x:f>
        <x:v>0</x:v>
      </x:c>
      <x:c r="J13" s="30" t="str">
        <x:f>IF(ABS(H13)&lt;0.01,"On Budget",IF(H13&gt;0,"Over/Above","Under/Below"))</x:f>
        <x:v>On Budget</x:v>
      </x:c>
      <x:c r="K13" s="30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  <x:c r="AA13" s="27"/>
      <x:c r="AB13" s="27"/>
    </x:row>
    <x:row r="14">
      <x:c r="A14" s="30" t="str">
        <x:v>Unit Budget</x:v>
      </x:c>
      <x:c r="B14" s="30" t="str">
        <x:v>U-3100</x:v>
      </x:c>
      <x:c r="C14" s="30" t="str">
        <x:v>Generator Machine Hours</x:v>
      </x:c>
      <x:c r="D14" s="30" t="str">
        <x:v>June 2026</x:v>
      </x:c>
      <x:c r="E14" s="30" t="str">
        <x:v>300</x:v>
      </x:c>
      <x:c r="F14" s="33" t="n">
        <x:v>2200</x:v>
      </x:c>
      <x:c r="G14" s="33" t="n">
        <x:v>2350</x:v>
      </x:c>
      <x:c r="H14" s="33" t="n">
        <x:f>G14-F14</x:f>
        <x:v>150</x:v>
      </x:c>
      <x:c r="I14" s="34" t="n">
        <x:f>IF(F14=0,0,H14/F14)</x:f>
        <x:v>0.06818181818181818</x:v>
      </x:c>
      <x:c r="J14" s="30" t="str">
        <x:f>IF(ABS(H14)&lt;0.01,"On Budget",IF(H14&gt;0,"Over/Above","Under/Below"))</x:f>
        <x:v>Over/Above</x:v>
      </x:c>
      <x:c r="K14" s="30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  <x:c r="AA14" s="27"/>
      <x:c r="AB14" s="27"/>
    </x:row>
    <x:row r="15">
      <x:c r="A15" s="30" t="str">
        <x:v>Allocation Driver</x:v>
      </x:c>
      <x:c r="B15" s="30" t="str">
        <x:v>ALLOC-IT-001</x:v>
      </x:c>
      <x:c r="C15" s="30" t="str">
        <x:v>IT overhead allocation by headcount</x:v>
      </x:c>
      <x:c r="D15" s="30" t="str">
        <x:v>June 2026</x:v>
      </x:c>
      <x:c r="E15" s="30" t="str">
        <x:v>All</x:v>
      </x:c>
      <x:c r="F15" s="33" t="n">
        <x:v>30000</x:v>
      </x:c>
      <x:c r="G15" s="33" t="n">
        <x:v>30000</x:v>
      </x:c>
      <x:c r="H15" s="33" t="n">
        <x:f>G15-F15</x:f>
        <x:v>0</x:v>
      </x:c>
      <x:c r="I15" s="34" t="n">
        <x:f>IF(F15=0,0,H15/F15)</x:f>
        <x:v>0</x:v>
      </x:c>
      <x:c r="J15" s="30" t="str">
        <x:f>IF(ABS(H15)&lt;0.01,"On Budget",IF(H15&gt;0,"Over/Above","Under/Below"))</x:f>
        <x:v>On Budget</x:v>
      </x:c>
      <x:c r="K15" s="30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  <x:c r="AA15" s="27"/>
      <x:c r="AB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  <x:c r="AA16" s="27"/>
      <x:c r="AB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  <x:c r="AA17" s="27"/>
      <x:c r="AB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  <x:c r="AA18" s="27"/>
      <x:c r="AB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  <x:c r="AA19" s="27"/>
      <x:c r="AB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  <x:c r="AA20" s="27"/>
      <x:c r="AB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  <x:c r="AA21" s="27"/>
      <x:c r="AB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  <x:c r="AA22" s="27"/>
      <x:c r="AB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  <x:c r="AA23" s="27"/>
      <x:c r="AB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  <x:c r="AA24" s="27"/>
      <x:c r="AB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  <x:c r="AA25" s="27"/>
      <x:c r="AB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  <x:c r="AA26" s="27"/>
      <x:c r="AB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  <x:c r="AA27" s="27"/>
      <x:c r="AB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  <x:c r="AA28" s="27"/>
      <x:c r="AB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  <x:c r="AA29" s="27"/>
      <x:c r="AB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  <x:c r="AA30" s="27"/>
      <x:c r="AB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  <x:c r="AA31" s="27"/>
      <x:c r="AB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  <x:c r="AA32" s="27"/>
      <x:c r="AB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  <x:c r="AA33" s="27"/>
      <x:c r="AB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  <x:c r="AA34" s="27"/>
      <x:c r="AB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  <x:c r="AA35" s="27"/>
      <x:c r="AB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  <x:c r="AA36" s="27"/>
      <x:c r="AB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  <x:c r="AA37" s="27"/>
      <x:c r="AB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  <x:c r="AA38" s="27"/>
      <x:c r="AB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  <x:c r="AA39" s="27"/>
      <x:c r="AB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  <x:c r="AA40" s="27"/>
      <x:c r="AB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  <x:c r="AA41" s="27"/>
      <x:c r="AB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  <x:c r="AA42" s="27"/>
      <x:c r="AB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  <x:c r="AA43" s="27"/>
      <x:c r="AB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  <x:c r="AA44" s="27"/>
      <x:c r="AB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  <x:c r="AA45" s="27"/>
      <x:c r="AB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  <x:c r="AA46" s="27"/>
      <x:c r="AB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  <x:c r="AA47" s="27"/>
      <x:c r="AB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  <x:c r="AA48" s="27"/>
      <x:c r="AB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  <x:c r="AA49" s="27"/>
      <x:c r="AB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  <x:c r="AA50" s="27"/>
      <x:c r="AB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  <x:c r="AA51" s="27"/>
      <x:c r="AB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  <x:c r="AA52" s="27"/>
      <x:c r="AB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  <x:c r="AA53" s="27"/>
      <x:c r="AB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  <x:c r="AA54" s="27"/>
      <x:c r="AB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  <x:c r="AA55" s="27"/>
      <x:c r="AB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  <x:c r="AA56" s="27"/>
      <x:c r="AB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  <x:c r="AA57" s="27"/>
      <x:c r="AB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  <x:c r="AA58" s="27"/>
      <x:c r="AB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  <x:c r="AA59" s="27"/>
      <x:c r="AB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  <x:c r="AA60" s="27"/>
      <x:c r="AB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  <x:c r="AA61" s="27"/>
      <x:c r="AB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  <x:c r="AA62" s="27"/>
      <x:c r="AB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  <x:c r="AA63" s="27"/>
      <x:c r="AB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  <x:c r="AA64" s="27"/>
      <x:c r="AB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  <x:c r="AA65" s="27"/>
      <x:c r="AB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  <x:c r="AA66" s="27"/>
      <x:c r="AB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  <x:c r="AA67" s="27"/>
      <x:c r="AB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  <x:c r="AA68" s="27"/>
      <x:c r="AB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  <x:c r="AA69" s="27"/>
      <x:c r="AB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  <x:c r="AA70" s="27"/>
      <x:c r="AB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  <x:c r="AA71" s="27"/>
      <x:c r="AB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  <x:c r="AA72" s="27"/>
      <x:c r="AB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  <x:c r="AA73" s="27"/>
      <x:c r="AB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  <x:c r="AA74" s="27"/>
      <x:c r="AB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  <x:c r="AA75" s="27"/>
      <x:c r="AB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  <x:c r="AA76" s="27"/>
      <x:c r="AB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  <x:c r="AA77" s="27"/>
      <x:c r="AB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  <x:c r="AA78" s="27"/>
      <x:c r="AB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  <x:c r="AA79" s="27"/>
      <x:c r="AB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  <x:c r="AA80" s="27"/>
      <x:c r="AB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  <x:c r="AA81" s="27"/>
      <x:c r="AB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  <x:c r="AA82" s="27"/>
      <x:c r="AB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  <x:c r="AA83" s="27"/>
      <x:c r="AB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  <x:c r="AA84" s="27"/>
      <x:c r="AB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  <x:c r="AA85" s="27"/>
      <x:c r="AB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  <x:c r="AA86" s="27"/>
      <x:c r="AB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  <x:c r="AA87" s="27"/>
      <x:c r="AB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  <x:c r="AA88" s="27"/>
      <x:c r="AB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  <x:c r="AA89" s="27"/>
      <x:c r="AB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  <x:c r="AA90" s="27"/>
      <x:c r="AB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  <x:c r="AA91" s="27"/>
      <x:c r="AB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  <x:c r="AA92" s="27"/>
      <x:c r="AB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  <x:c r="AA93" s="27"/>
      <x:c r="AB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  <x:c r="AA94" s="27"/>
      <x:c r="AB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  <x:c r="AA95" s="27"/>
      <x:c r="AB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  <x:c r="AA96" s="27"/>
      <x:c r="AB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  <x:c r="AA97" s="27"/>
      <x:c r="AB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  <x:c r="AA98" s="27"/>
      <x:c r="AB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  <x:c r="AA99" s="27"/>
      <x:c r="AB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  <x:c r="AA100" s="27"/>
      <x:c r="AB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  <x:c r="AA101" s="27"/>
      <x:c r="AB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  <x:c r="AA102" s="27"/>
      <x:c r="AB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  <x:c r="AA103" s="27"/>
      <x:c r="AB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  <x:c r="AA104" s="27"/>
      <x:c r="AB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  <x:c r="AA105" s="27"/>
      <x:c r="AB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  <x:c r="AA106" s="27"/>
      <x:c r="AB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  <x:c r="AA107" s="27"/>
      <x:c r="AB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  <x:c r="AA108" s="27"/>
      <x:c r="AB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  <x:c r="AA109" s="27"/>
      <x:c r="AB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  <x:c r="AA110" s="27"/>
      <x:c r="AB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  <x:c r="AA111" s="27"/>
      <x:c r="AB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  <x:c r="AA112" s="27"/>
      <x:c r="AB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  <x:c r="AA113" s="27"/>
      <x:c r="AB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  <x:c r="AA114" s="27"/>
      <x:c r="AB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  <x:c r="AA115" s="27"/>
      <x:c r="AB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  <x:c r="AA116" s="27"/>
      <x:c r="AB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  <x:c r="AA117" s="27"/>
      <x:c r="AB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  <x:c r="AA118" s="27"/>
      <x:c r="AB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  <x:c r="AA119" s="27"/>
      <x:c r="AB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  <x:c r="AA120" s="27"/>
      <x:c r="AB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  <x:c r="AA121" s="27"/>
      <x:c r="AB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  <x:c r="AA122" s="27"/>
      <x:c r="AB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  <x:c r="AA123" s="27"/>
      <x:c r="AB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  <x:c r="AA124" s="27"/>
      <x:c r="AB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  <x:c r="AA125" s="27"/>
      <x:c r="AB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  <x:c r="AA126" s="27"/>
      <x:c r="AB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  <x:c r="AA127" s="27"/>
      <x:c r="AB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  <x:c r="AA128" s="27"/>
      <x:c r="AB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  <x:c r="AA129" s="27"/>
      <x:c r="AB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  <x:c r="AA130" s="27"/>
      <x:c r="AB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  <x:c r="AA131" s="27"/>
      <x:c r="AB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  <x:c r="AA132" s="27"/>
      <x:c r="AB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  <x:c r="AA133" s="27"/>
      <x:c r="AB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  <x:c r="AA134" s="27"/>
      <x:c r="AB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  <x:c r="AA135" s="27"/>
      <x:c r="AB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  <x:c r="AA136" s="27"/>
      <x:c r="AB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  <x:c r="AA137" s="27"/>
      <x:c r="AB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  <x:c r="AA138" s="27"/>
      <x:c r="AB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  <x:c r="AA139" s="27"/>
      <x:c r="AB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  <x:c r="AA140" s="27"/>
      <x:c r="AB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  <x:c r="AA141" s="27"/>
      <x:c r="AB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  <x:c r="AA142" s="27"/>
      <x:c r="AB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  <x:c r="AA143" s="27"/>
      <x:c r="AB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  <x:c r="AA144" s="27"/>
      <x:c r="AB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  <x:c r="AA145" s="27"/>
      <x:c r="AB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  <x:c r="AA146" s="27"/>
      <x:c r="AB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  <x:c r="AA147" s="27"/>
      <x:c r="AB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  <x:c r="AA148" s="27"/>
      <x:c r="AB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  <x:c r="AA149" s="27"/>
      <x:c r="AB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  <x:c r="AA150" s="27"/>
      <x:c r="AB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  <x:c r="AA151" s="27"/>
      <x:c r="AB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  <x:c r="AA152" s="27"/>
      <x:c r="AB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  <x:c r="AA153" s="27"/>
      <x:c r="AB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  <x:c r="AA154" s="27"/>
      <x:c r="AB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  <x:c r="AA155" s="27"/>
      <x:c r="AB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  <x:c r="AA156" s="27"/>
      <x:c r="AB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  <x:c r="AA157" s="27"/>
      <x:c r="AB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  <x:c r="AA158" s="27"/>
      <x:c r="AB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  <x:c r="AA159" s="27"/>
      <x:c r="AB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  <x:c r="AA160" s="27"/>
      <x:c r="AB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  <x:c r="AA161" s="27"/>
      <x:c r="AB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  <x:c r="AA162" s="27"/>
      <x:c r="AB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  <x:c r="AA163" s="27"/>
      <x:c r="AB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  <x:c r="AA164" s="27"/>
      <x:c r="AB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  <x:c r="AA165" s="27"/>
      <x:c r="AB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  <x:c r="AA166" s="27"/>
      <x:c r="AB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  <x:c r="AA167" s="27"/>
      <x:c r="AB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  <x:c r="AA168" s="27"/>
      <x:c r="AB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  <x:c r="AA169" s="27"/>
      <x:c r="AB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  <x:c r="AA170" s="27"/>
      <x:c r="AB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  <x:c r="AA171" s="27"/>
      <x:c r="AB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  <x:c r="AA172" s="27"/>
      <x:c r="AB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  <x:c r="AA173" s="27"/>
      <x:c r="AB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  <x:c r="AA174" s="27"/>
      <x:c r="AB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  <x:c r="AA175" s="27"/>
      <x:c r="AB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  <x:c r="AA176" s="27"/>
      <x:c r="AB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  <x:c r="AA177" s="27"/>
      <x:c r="AB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  <x:c r="AA178" s="27"/>
      <x:c r="AB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  <x:c r="AA179" s="27"/>
      <x:c r="AB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  <x:c r="AA180" s="27"/>
      <x:c r="AB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  <x:c r="AA181" s="27"/>
      <x:c r="AB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  <x:c r="AA182" s="27"/>
      <x:c r="AB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  <x:c r="AA183" s="27"/>
      <x:c r="AB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  <x:c r="AA184" s="27"/>
      <x:c r="AB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  <x:c r="AA185" s="27"/>
      <x:c r="AB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  <x:c r="AA186" s="27"/>
      <x:c r="AB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  <x:c r="AA187" s="27"/>
      <x:c r="AB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  <x:c r="AA188" s="27"/>
      <x:c r="AB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  <x:c r="AA189" s="27"/>
      <x:c r="AB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  <x:c r="AA190" s="27"/>
      <x:c r="AB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  <x:c r="AA191" s="27"/>
      <x:c r="AB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  <x:c r="AA192" s="27"/>
      <x:c r="AB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  <x:c r="AA193" s="27"/>
      <x:c r="AB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  <x:c r="AA194" s="27"/>
      <x:c r="AB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  <x:c r="AA195" s="27"/>
      <x:c r="AB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  <x:c r="AA196" s="27"/>
      <x:c r="AB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  <x:c r="AA197" s="27"/>
      <x:c r="AB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  <x:c r="AA198" s="27"/>
      <x:c r="AB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  <x:c r="AA199" s="27"/>
      <x:c r="AB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  <x:c r="AA200" s="27"/>
      <x:c r="AB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  <x:c r="AA201" s="27"/>
      <x:c r="AB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  <x:c r="AA202" s="27"/>
      <x:c r="AB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  <x:c r="AA203" s="27"/>
      <x:c r="AB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  <x:c r="AA204" s="27"/>
      <x:c r="AB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  <x:c r="AA205" s="27"/>
      <x:c r="AB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  <x:c r="Z206" s="27"/>
      <x:c r="AA206" s="27"/>
      <x:c r="AB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  <x:c r="Z207" s="27"/>
      <x:c r="AA207" s="27"/>
      <x:c r="AB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  <x:c r="Z208" s="27"/>
      <x:c r="AA208" s="27"/>
      <x:c r="AB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  <x:c r="Z209" s="27"/>
      <x:c r="AA209" s="27"/>
      <x:c r="AB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  <x:c r="Z210" s="27"/>
      <x:c r="AA210" s="27"/>
      <x:c r="AB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  <x:c r="Z211" s="27"/>
      <x:c r="AA211" s="27"/>
      <x:c r="AB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  <x:c r="Z212" s="27"/>
      <x:c r="AA212" s="27"/>
      <x:c r="AB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  <x:c r="Z213" s="27"/>
      <x:c r="AA213" s="27"/>
      <x:c r="AB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  <x:c r="Z214" s="27"/>
      <x:c r="AA214" s="27"/>
      <x:c r="AB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  <x:c r="Z215" s="27"/>
      <x:c r="AA215" s="27"/>
      <x:c r="AB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  <x:c r="Z216" s="27"/>
      <x:c r="AA216" s="27"/>
      <x:c r="AB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  <x:c r="Z217" s="27"/>
      <x:c r="AA217" s="27"/>
      <x:c r="AB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  <x:c r="Z218" s="27"/>
      <x:c r="AA218" s="27"/>
      <x:c r="AB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  <x:c r="Z219" s="27"/>
      <x:c r="AA219" s="27"/>
      <x:c r="AB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  <x:c r="Z220" s="27"/>
      <x:c r="AA220" s="27"/>
      <x:c r="AB220" s="27"/>
    </x:row>
  </x:sheetData>
  <x:conditionalFormatting sqref="J5:J15">
    <x:cfRule type="containsText" dxfId="9" priority="1" operator="containsText" text="On Budget"/>
    <x:cfRule type="containsText" dxfId="10" priority="2" operator="containsText" text="Over"/>
    <x:cfRule type="containsText" dxfId="11" priority="3" operator="containsText" text="Under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46" hidden="0" customWidth="1"/>
    <x:col min="4" max="4" width="18" hidden="0" customWidth="1"/>
    <x:col min="5" max="5" width="12" hidden="0" customWidth="1"/>
    <x:col min="6" max="6" width="38" hidden="0" customWidth="1"/>
    <x:col min="7" max="7" width="66" hidden="0" customWidth="1"/>
  </x:cols>
  <x:sheetData>
    <x:row r="1" ht="28" customHeight="1">
      <x:c r="A1" s="26" t="str">
        <x:v>Reconciliation Checks</x:v>
      </x:c>
      <x:c r="B1" s="26"/>
      <x:c r="C1" s="26"/>
      <x:c r="D1" s="26"/>
      <x:c r="E1" s="26"/>
      <x:c r="F1" s="26"/>
      <x:c r="G1" s="26"/>
      <x:c r="H1" s="26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  <x:c r="AA1" s="27"/>
      <x:c r="AB1" s="27"/>
    </x:row>
    <x:row r="2" ht="46" customHeight="1">
      <x:c r="A2" s="28" t="str">
        <x:v>Formula-backed checks to compare against ERP reports after each testing stage.</x:v>
      </x:c>
      <x:c r="B2" s="28"/>
      <x:c r="C2" s="28"/>
      <x:c r="D2" s="28"/>
      <x:c r="E2" s="28"/>
      <x:c r="F2" s="28"/>
      <x:c r="G2" s="28"/>
      <x:c r="H2" s="28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</x:row>
    <x:row r="4">
      <x:c r="A4" s="31" t="str">
        <x:v>Check ID</x:v>
      </x:c>
      <x:c r="B4" s="31" t="str">
        <x:v>Area</x:v>
      </x:c>
      <x:c r="C4" s="31" t="str">
        <x:v>Calculation</x:v>
      </x:c>
      <x:c r="D4" s="31" t="str">
        <x:v>Delta / Value</x:v>
      </x:c>
      <x:c r="E4" s="31" t="str">
        <x:v>Status</x:v>
      </x:c>
      <x:c r="F4" s="31" t="str">
        <x:v>Report Evidence</x:v>
      </x:c>
      <x:c r="G4" s="31" t="str">
        <x:v>Investigate If Fail</x:v>
      </x:c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  <x:c r="AA4" s="27"/>
      <x:c r="AB4" s="27"/>
    </x:row>
    <x:row r="5">
      <x:c r="A5" s="30" t="str">
        <x:v>CHK-001</x:v>
      </x:c>
      <x:c r="B5" s="30" t="str">
        <x:v>Overall GL</x:v>
      </x:c>
      <x:c r="C5" s="30" t="str">
        <x:v>Expected GL total debits less credits</x:v>
      </x:c>
      <x:c r="D5" s="33" t="n">
        <x:f>SUMIFS('Expected_GL'!$H$5:$H$200,'Expected_GL'!$G$5:$G$200,"DR")-SUMIFS('Expected_GL'!$H$5:$H$200,'Expected_GL'!$G$5:$G$200,"CR")</x:f>
        <x:v>0</x:v>
      </x:c>
      <x:c r="E5" s="30" t="str">
        <x:f>IF(ABS(D5)&lt;0.01,"PASS","CHECK")</x:f>
        <x:v>PASS</x:v>
      </x:c>
      <x:c r="F5" s="30" t="str">
        <x:v>Trial Balance total debits/credits</x:v>
      </x:c>
      <x:c r="G5" s="30" t="str">
        <x:v>All expected postings should balance.</x:v>
      </x:c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  <x:c r="AB5" s="27"/>
    </x:row>
    <x:row r="6">
      <x:c r="A6" s="30" t="str">
        <x:v>CHK-002</x:v>
      </x:c>
      <x:c r="B6" s="30" t="str">
        <x:v>Migration Clearing</x:v>
      </x:c>
      <x:c r="C6" s="30" t="str">
        <x:v>Account 1990 net movement</x:v>
      </x:c>
      <x:c r="D6" s="33" t="n">
        <x:f>SUMIFS('Expected_GL'!$H$5:$H$200,'Expected_GL'!$E$5:$E$200,"000-1990-0000",'Expected_GL'!$G$5:$G$200,"DR")-SUMIFS('Expected_GL'!$H$5:$H$200,'Expected_GL'!$E$5:$E$200,"000-1990-0000",'Expected_GL'!$G$5:$G$200,"CR")</x:f>
        <x:v>0</x:v>
      </x:c>
      <x:c r="E6" s="30" t="str">
        <x:f>IF(ABS(D6)&lt;0.01,"PASS","CHECK")</x:f>
        <x:v>PASS</x:v>
      </x:c>
      <x:c r="F6" s="30" t="str">
        <x:v>Detailed Ledger 1990</x:v>
      </x:c>
      <x:c r="G6" s="30" t="str">
        <x:v>Should be zero after opening balances.</x:v>
      </x:c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  <x:c r="AA6" s="27"/>
      <x:c r="AB6" s="27"/>
    </x:row>
    <x:row r="7">
      <x:c r="A7" s="30" t="str">
        <x:v>CHK-003</x:v>
      </x:c>
      <x:c r="B7" s="30" t="str">
        <x:v>AR Control</x:v>
      </x:c>
      <x:c r="C7" s="30" t="str">
        <x:v>Account 1100 net debit balance</x:v>
      </x:c>
      <x:c r="D7" s="33" t="n">
        <x:f>SUMIFS('Expected_GL'!$H$5:$H$200,'Expected_GL'!$E$5:$E$200,"000-1100-0000",'Expected_GL'!$G$5:$G$200,"DR")-SUMIFS('Expected_GL'!$H$5:$H$200,'Expected_GL'!$E$5:$E$200,"000-1100-0000",'Expected_GL'!$G$5:$G$200,"CR")</x:f>
        <x:v>189200</x:v>
      </x:c>
      <x:c r="E7" s="30" t="str">
        <x:f>IF(ISNUMBER(D7),"REVIEW","CHECK")</x:f>
        <x:v>REVIEW</x:v>
      </x:c>
      <x:c r="F7" s="30" t="str">
        <x:v>AR Aging and Detailed Ledger 1100</x:v>
      </x:c>
      <x:c r="G7" s="30" t="str">
        <x:v>Should reconcile to customer subledger.</x:v>
      </x:c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  <x:c r="AA7" s="27"/>
      <x:c r="AB7" s="27"/>
    </x:row>
    <x:row r="8">
      <x:c r="A8" s="30" t="str">
        <x:v>CHK-004</x:v>
      </x:c>
      <x:c r="B8" s="30" t="str">
        <x:v>AP Control</x:v>
      </x:c>
      <x:c r="C8" s="30" t="str">
        <x:v>Account 2000 net credit balance</x:v>
      </x:c>
      <x:c r="D8" s="33" t="n">
        <x:f>SUMIFS('Expected_GL'!$H$5:$H$200,'Expected_GL'!$E$5:$E$200,"000-2000-0000",'Expected_GL'!$G$5:$G$200,"CR")-SUMIFS('Expected_GL'!$H$5:$H$200,'Expected_GL'!$E$5:$E$200,"000-2000-0000",'Expected_GL'!$G$5:$G$200,"DR")</x:f>
        <x:v>248600</x:v>
      </x:c>
      <x:c r="E8" s="30" t="str">
        <x:f>IF(ISNUMBER(D8),"REVIEW","CHECK")</x:f>
        <x:v>REVIEW</x:v>
      </x:c>
      <x:c r="F8" s="30" t="str">
        <x:v>AP Aging and Detailed Ledger 2000</x:v>
      </x:c>
      <x:c r="G8" s="30" t="str">
        <x:v>Should reconcile to supplier subledger.</x:v>
      </x:c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  <x:c r="AA8" s="27"/>
      <x:c r="AB8" s="27"/>
    </x:row>
    <x:row r="9">
      <x:c r="A9" s="30" t="str">
        <x:v>CHK-005</x:v>
      </x:c>
      <x:c r="B9" s="30" t="str">
        <x:v>Cash</x:v>
      </x:c>
      <x:c r="C9" s="30" t="str">
        <x:v>Accounts 1000 and 1010 net debit balance</x:v>
      </x:c>
      <x:c r="D9" s="33" t="n">
        <x:f>SUMIFS('Expected_GL'!$H$5:$H$200,'Expected_GL'!$E$5:$E$200,"000-1000-0000",'Expected_GL'!$G$5:$G$200,"DR")+SUMIFS('Expected_GL'!$H$5:$H$200,'Expected_GL'!$E$5:$E$200,"000-1010-0000",'Expected_GL'!$G$5:$G$200,"DR")-SUMIFS('Expected_GL'!$H$5:$H$200,'Expected_GL'!$E$5:$E$200,"000-1000-0000",'Expected_GL'!$G$5:$G$200,"CR")-SUMIFS('Expected_GL'!$H$5:$H$200,'Expected_GL'!$E$5:$E$200,"000-1010-0000",'Expected_GL'!$G$5:$G$200,"CR")</x:f>
        <x:v>587050</x:v>
      </x:c>
      <x:c r="E9" s="30" t="str">
        <x:f>IF(ISNUMBER(D9),"REVIEW","CHECK")</x:f>
        <x:v>REVIEW</x:v>
      </x:c>
      <x:c r="F9" s="30" t="str">
        <x:v>Cash/Bank Ledger</x:v>
      </x:c>
      <x:c r="G9" s="30" t="str">
        <x:v>Should reconcile to bank statement and cash reports.</x:v>
      </x:c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  <x:c r="AA9" s="27"/>
      <x:c r="AB9" s="27"/>
    </x:row>
    <x:row r="10">
      <x:c r="A10" s="30" t="str">
        <x:v>CHK-006</x:v>
      </x:c>
      <x:c r="B10" s="30" t="str">
        <x:v>Tax/VAT Control</x:v>
      </x:c>
      <x:c r="C10" s="30" t="str">
        <x:v>Account 2200 net credit/(debit) balance</x:v>
      </x:c>
      <x:c r="D10" s="33" t="n">
        <x:f>SUMIFS('Expected_GL'!$H$5:$H$200,'Expected_GL'!$E$5:$E$200,"000-2200-0000",'Expected_GL'!$G$5:$G$200,"CR")-SUMIFS('Expected_GL'!$H$5:$H$200,'Expected_GL'!$E$5:$E$200,"000-2200-0000",'Expected_GL'!$G$5:$G$200,"DR")</x:f>
        <x:v>-10312.5</x:v>
      </x:c>
      <x:c r="E10" s="30" t="str">
        <x:f>IF(ISNUMBER(D10),"REVIEW","CHECK")</x:f>
        <x:v>REVIEW</x:v>
      </x:c>
      <x:c r="F10" s="30" t="str">
        <x:v>Tax Report</x:v>
      </x:c>
      <x:c r="G10" s="30" t="str">
        <x:v>Debit balance can occur if input VAT/customer WHT exceeds output/WHT payable.</x:v>
      </x:c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  <x:c r="AA10" s="27"/>
      <x:c r="AB10" s="27"/>
    </x:row>
    <x:row r="11">
      <x:c r="A11" s="30" t="str">
        <x:v>CHK-007</x:v>
      </x:c>
      <x:c r="B11" s="30" t="str">
        <x:v>Fixed Asset Cost</x:v>
      </x:c>
      <x:c r="C11" s="30" t="str">
        <x:v>FA cost accounts 1510/1520/1530 net debit</x:v>
      </x:c>
      <x:c r="D11" s="33" t="n">
        <x:f>SUMIFS('Expected_GL'!$H$5:$H$200,'Expected_GL'!$E$5:$E$200,"000-1510-0000",'Expected_GL'!$G$5:$G$200,"DR")+SUMIFS('Expected_GL'!$H$5:$H$200,'Expected_GL'!$E$5:$E$200,"000-1520-0000",'Expected_GL'!$G$5:$G$200,"DR")+SUMIFS('Expected_GL'!$H$5:$H$200,'Expected_GL'!$E$5:$E$200,"000-1530-0000",'Expected_GL'!$G$5:$G$200,"DR")-SUMIFS('Expected_GL'!$H$5:$H$200,'Expected_GL'!$E$5:$E$200,"000-1510-0000",'Expected_GL'!$G$5:$G$200,"CR")-SUMIFS('Expected_GL'!$H$5:$H$200,'Expected_GL'!$E$5:$E$200,"000-1520-0000",'Expected_GL'!$G$5:$G$200,"CR")-SUMIFS('Expected_GL'!$H$5:$H$200,'Expected_GL'!$E$5:$E$200,"000-1530-0000",'Expected_GL'!$G$5:$G$200,"CR")</x:f>
        <x:v>1838000</x:v>
      </x:c>
      <x:c r="E11" s="30" t="str">
        <x:f>IF(ISNUMBER(D11),"REVIEW","CHECK")</x:f>
        <x:v>REVIEW</x:v>
      </x:c>
      <x:c r="F11" s="30" t="str">
        <x:v>Fixed Asset Register and Balance Sheet</x:v>
      </x:c>
      <x:c r="G11" s="30" t="str">
        <x:v>Should tie to FA cost roll-forward.</x:v>
      </x:c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  <x:c r="AA11" s="27"/>
      <x:c r="AB11" s="27"/>
    </x:row>
    <x:row r="12">
      <x:c r="A12" s="30" t="str">
        <x:v>CHK-008</x:v>
      </x:c>
      <x:c r="B12" s="30" t="str">
        <x:v>Accumulated Depreciation</x:v>
      </x:c>
      <x:c r="C12" s="30" t="str">
        <x:v>Account 1590 net credit balance</x:v>
      </x:c>
      <x:c r="D12" s="33" t="n">
        <x:f>SUMIFS('Expected_GL'!$H$5:$H$200,'Expected_GL'!$E$5:$E$200,"000-1590-0000",'Expected_GL'!$G$5:$G$200,"CR")-SUMIFS('Expected_GL'!$H$5:$H$200,'Expected_GL'!$E$5:$E$200,"000-1590-0000",'Expected_GL'!$G$5:$G$200,"DR")</x:f>
        <x:v>151486.65999999997</x:v>
      </x:c>
      <x:c r="E12" s="30" t="str">
        <x:f>IF(ISNUMBER(D12),"REVIEW","CHECK")</x:f>
        <x:v>REVIEW</x:v>
      </x:c>
      <x:c r="F12" s="30" t="str">
        <x:v>Depreciation Schedule and Balance Sheet</x:v>
      </x:c>
      <x:c r="G12" s="30" t="str">
        <x:v>Should tie to FA accumulated depreciation roll-forward.</x:v>
      </x:c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  <x:c r="AA12" s="27"/>
      <x:c r="AB12" s="27"/>
    </x:row>
    <x:row r="13">
      <x:c r="A13" s="30" t="str">
        <x:v>CHK-009</x:v>
      </x:c>
      <x:c r="B13" s="30" t="str">
        <x:v>Service Revenue</x:v>
      </x:c>
      <x:c r="C13" s="30" t="str">
        <x:v>Account 4100 net credit</x:v>
      </x:c>
      <x:c r="D13" s="33" t="n">
        <x:f>SUMIFS('Expected_GL'!$H$5:$H$200,'Expected_GL'!$E$5:$E$200,"000-4100-0000",'Expected_GL'!$G$5:$G$200,"CR")-SUMIFS('Expected_GL'!$H$5:$H$200,'Expected_GL'!$E$5:$E$200,"000-4100-0000",'Expected_GL'!$G$5:$G$200,"DR")</x:f>
        <x:v>125000</x:v>
      </x:c>
      <x:c r="E13" s="30" t="str">
        <x:f>IF(ISNUMBER(D13),"REVIEW","CHECK")</x:f>
        <x:v>REVIEW</x:v>
      </x:c>
      <x:c r="F13" s="30" t="str">
        <x:v>Income Statement</x:v>
      </x:c>
      <x:c r="G13" s="30" t="str">
        <x:v>Should include AR invoices less credit notes.</x:v>
      </x:c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  <x:c r="AA13" s="27"/>
      <x:c r="AB13" s="27"/>
    </x:row>
    <x:row r="14">
      <x:c r="A14" s="30" t="str">
        <x:v>CHK-010</x:v>
      </x:c>
      <x:c r="B14" s="30" t="str">
        <x:v>FX Results</x:v>
      </x:c>
      <x:c r="C14" s="30" t="str">
        <x:v>Realized/unrealized FX net income impact</x:v>
      </x:c>
      <x:c r="D14" s="33" t="n">
        <x:f>SUMIFS('Expected_GL'!$H$5:$H$200,'Expected_GL'!$E$5:$E$200,"000-7100-0000",'Expected_GL'!$G$5:$G$200,"CR")+SUMIFS('Expected_GL'!$H$5:$H$200,'Expected_GL'!$E$5:$E$200,"000-7200-0000",'Expected_GL'!$G$5:$G$200,"CR")-SUMIFS('Expected_GL'!$H$5:$H$200,'Expected_GL'!$E$5:$E$200,"000-7110-0000",'Expected_GL'!$G$5:$G$200,"DR")-SUMIFS('Expected_GL'!$H$5:$H$200,'Expected_GL'!$E$5:$E$200,"000-7210-0000",'Expected_GL'!$G$5:$G$200,"DR")</x:f>
        <x:v>1212.5</x:v>
      </x:c>
      <x:c r="E14" s="30" t="str">
        <x:f>IF(ISNUMBER(D14),"REVIEW","CHECK")</x:f>
        <x:v>REVIEW</x:v>
      </x:c>
      <x:c r="F14" s="30" t="str">
        <x:v>Multi-Currency Detail and Income Statement</x:v>
      </x:c>
      <x:c r="G14" s="30" t="str">
        <x:v>Realized and unrealized should remain separate.</x:v>
      </x:c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  <x:c r="AA14" s="27"/>
      <x:c r="AB14" s="27"/>
    </x:row>
    <x:row r="15">
      <x:c r="A15" s="30" t="str">
        <x:v>CHK-011</x:v>
      </x:c>
      <x:c r="B15" s="30" t="str">
        <x:v>Budget Revenue Variance</x:v>
      </x:c>
      <x:c r="C15" s="30" t="str">
        <x:v>Budget_Unit service revenue variance</x:v>
      </x:c>
      <x:c r="D15" s="33" t="n">
        <x:f>'Budget_Unit'!H5</x:f>
        <x:v>-15000</x:v>
      </x:c>
      <x:c r="E15" s="30" t="str">
        <x:f>IF(ISNUMBER(D15),"REVIEW","CHECK")</x:f>
        <x:v>REVIEW</x:v>
      </x:c>
      <x:c r="F15" s="30" t="str">
        <x:v>Budget vs Actual</x:v>
      </x:c>
      <x:c r="G15" s="30" t="str">
        <x:v>Actual should be sourced from posted GL only.</x:v>
      </x:c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  <x:c r="AA15" s="27"/>
      <x:c r="AB15" s="27"/>
    </x:row>
    <x:row r="16">
      <x:c r="A16" s="30" t="str">
        <x:v>CHK-012</x:v>
      </x:c>
      <x:c r="B16" s="30" t="str">
        <x:v>Unit Headcount</x:v>
      </x:c>
      <x:c r="C16" s="30" t="str">
        <x:v>Unit budget actual total headcount</x:v>
      </x:c>
      <x:c r="D16" s="33" t="n">
        <x:f>SUM('Budget_Unit'!G10:G12)</x:f>
        <x:v>87</x:v>
      </x:c>
      <x:c r="E16" s="30" t="str">
        <x:f>IF(ISNUMBER(D16),"REVIEW","CHECK")</x:f>
        <x:v>REVIEW</x:v>
      </x:c>
      <x:c r="F16" s="30" t="str">
        <x:v>Unit Budget Variance</x:v>
      </x:c>
      <x:c r="G16" s="30" t="str">
        <x:v>Parent unit account should equal child total.</x:v>
      </x:c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  <x:c r="AA16" s="27"/>
      <x:c r="AB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  <x:c r="AA17" s="27"/>
      <x:c r="AB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  <x:c r="AA18" s="27"/>
      <x:c r="AB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  <x:c r="AA19" s="27"/>
      <x:c r="AB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  <x:c r="AA20" s="27"/>
      <x:c r="AB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  <x:c r="AA21" s="27"/>
      <x:c r="AB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  <x:c r="AA22" s="27"/>
      <x:c r="AB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  <x:c r="AA23" s="27"/>
      <x:c r="AB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  <x:c r="AA24" s="27"/>
      <x:c r="AB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  <x:c r="AA25" s="27"/>
      <x:c r="AB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  <x:c r="AA26" s="27"/>
      <x:c r="AB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  <x:c r="AA27" s="27"/>
      <x:c r="AB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  <x:c r="AA28" s="27"/>
      <x:c r="AB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  <x:c r="AA29" s="27"/>
      <x:c r="AB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  <x:c r="AA30" s="27"/>
      <x:c r="AB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  <x:c r="AA31" s="27"/>
      <x:c r="AB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  <x:c r="AA32" s="27"/>
      <x:c r="AB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  <x:c r="AA33" s="27"/>
      <x:c r="AB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  <x:c r="AA34" s="27"/>
      <x:c r="AB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  <x:c r="AA35" s="27"/>
      <x:c r="AB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  <x:c r="AA36" s="27"/>
      <x:c r="AB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  <x:c r="AA37" s="27"/>
      <x:c r="AB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  <x:c r="AA38" s="27"/>
      <x:c r="AB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  <x:c r="AA39" s="27"/>
      <x:c r="AB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  <x:c r="AA40" s="27"/>
      <x:c r="AB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  <x:c r="AA41" s="27"/>
      <x:c r="AB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  <x:c r="AA42" s="27"/>
      <x:c r="AB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  <x:c r="AA43" s="27"/>
      <x:c r="AB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  <x:c r="AA44" s="27"/>
      <x:c r="AB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  <x:c r="AA45" s="27"/>
      <x:c r="AB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  <x:c r="AA46" s="27"/>
      <x:c r="AB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  <x:c r="AA47" s="27"/>
      <x:c r="AB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  <x:c r="AA48" s="27"/>
      <x:c r="AB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  <x:c r="AA49" s="27"/>
      <x:c r="AB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  <x:c r="AA50" s="27"/>
      <x:c r="AB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  <x:c r="AA51" s="27"/>
      <x:c r="AB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  <x:c r="AA52" s="27"/>
      <x:c r="AB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  <x:c r="AA53" s="27"/>
      <x:c r="AB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  <x:c r="AA54" s="27"/>
      <x:c r="AB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  <x:c r="AA55" s="27"/>
      <x:c r="AB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  <x:c r="AA56" s="27"/>
      <x:c r="AB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  <x:c r="AA57" s="27"/>
      <x:c r="AB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  <x:c r="AA58" s="27"/>
      <x:c r="AB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  <x:c r="AA59" s="27"/>
      <x:c r="AB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  <x:c r="AA60" s="27"/>
      <x:c r="AB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  <x:c r="AA61" s="27"/>
      <x:c r="AB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  <x:c r="AA62" s="27"/>
      <x:c r="AB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  <x:c r="AA63" s="27"/>
      <x:c r="AB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  <x:c r="AA64" s="27"/>
      <x:c r="AB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  <x:c r="AA65" s="27"/>
      <x:c r="AB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  <x:c r="AA66" s="27"/>
      <x:c r="AB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  <x:c r="AA67" s="27"/>
      <x:c r="AB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  <x:c r="AA68" s="27"/>
      <x:c r="AB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  <x:c r="AA69" s="27"/>
      <x:c r="AB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  <x:c r="AA70" s="27"/>
      <x:c r="AB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  <x:c r="AA71" s="27"/>
      <x:c r="AB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  <x:c r="AA72" s="27"/>
      <x:c r="AB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  <x:c r="AA73" s="27"/>
      <x:c r="AB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  <x:c r="AA74" s="27"/>
      <x:c r="AB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  <x:c r="AA75" s="27"/>
      <x:c r="AB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  <x:c r="AA76" s="27"/>
      <x:c r="AB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  <x:c r="AA77" s="27"/>
      <x:c r="AB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  <x:c r="AA78" s="27"/>
      <x:c r="AB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  <x:c r="AA79" s="27"/>
      <x:c r="AB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  <x:c r="AA80" s="27"/>
      <x:c r="AB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  <x:c r="AA81" s="27"/>
      <x:c r="AB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  <x:c r="AA82" s="27"/>
      <x:c r="AB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  <x:c r="AA83" s="27"/>
      <x:c r="AB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  <x:c r="AA84" s="27"/>
      <x:c r="AB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  <x:c r="AA85" s="27"/>
      <x:c r="AB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  <x:c r="AA86" s="27"/>
      <x:c r="AB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  <x:c r="AA87" s="27"/>
      <x:c r="AB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  <x:c r="AA88" s="27"/>
      <x:c r="AB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  <x:c r="AA89" s="27"/>
      <x:c r="AB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  <x:c r="AA90" s="27"/>
      <x:c r="AB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  <x:c r="AA91" s="27"/>
      <x:c r="AB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  <x:c r="AA92" s="27"/>
      <x:c r="AB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  <x:c r="AA93" s="27"/>
      <x:c r="AB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  <x:c r="AA94" s="27"/>
      <x:c r="AB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  <x:c r="AA95" s="27"/>
      <x:c r="AB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  <x:c r="AA96" s="27"/>
      <x:c r="AB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  <x:c r="AA97" s="27"/>
      <x:c r="AB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  <x:c r="AA98" s="27"/>
      <x:c r="AB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  <x:c r="AA99" s="27"/>
      <x:c r="AB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  <x:c r="AA100" s="27"/>
      <x:c r="AB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  <x:c r="AA101" s="27"/>
      <x:c r="AB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  <x:c r="AA102" s="27"/>
      <x:c r="AB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  <x:c r="AA103" s="27"/>
      <x:c r="AB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  <x:c r="AA104" s="27"/>
      <x:c r="AB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  <x:c r="AA105" s="27"/>
      <x:c r="AB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  <x:c r="AA106" s="27"/>
      <x:c r="AB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  <x:c r="AA107" s="27"/>
      <x:c r="AB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  <x:c r="AA108" s="27"/>
      <x:c r="AB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  <x:c r="AA109" s="27"/>
      <x:c r="AB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  <x:c r="AA110" s="27"/>
      <x:c r="AB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  <x:c r="AA111" s="27"/>
      <x:c r="AB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  <x:c r="AA112" s="27"/>
      <x:c r="AB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  <x:c r="AA113" s="27"/>
      <x:c r="AB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  <x:c r="AA114" s="27"/>
      <x:c r="AB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  <x:c r="AA115" s="27"/>
      <x:c r="AB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  <x:c r="AA116" s="27"/>
      <x:c r="AB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  <x:c r="AA117" s="27"/>
      <x:c r="AB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  <x:c r="AA118" s="27"/>
      <x:c r="AB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  <x:c r="AA119" s="27"/>
      <x:c r="AB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  <x:c r="AA120" s="27"/>
      <x:c r="AB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  <x:c r="AA121" s="27"/>
      <x:c r="AB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  <x:c r="AA122" s="27"/>
      <x:c r="AB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  <x:c r="AA123" s="27"/>
      <x:c r="AB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  <x:c r="AA124" s="27"/>
      <x:c r="AB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  <x:c r="AA125" s="27"/>
      <x:c r="AB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  <x:c r="AA126" s="27"/>
      <x:c r="AB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  <x:c r="AA127" s="27"/>
      <x:c r="AB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  <x:c r="AA128" s="27"/>
      <x:c r="AB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  <x:c r="AA129" s="27"/>
      <x:c r="AB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  <x:c r="AA130" s="27"/>
      <x:c r="AB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  <x:c r="AA131" s="27"/>
      <x:c r="AB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  <x:c r="AA132" s="27"/>
      <x:c r="AB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  <x:c r="AA133" s="27"/>
      <x:c r="AB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  <x:c r="AA134" s="27"/>
      <x:c r="AB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  <x:c r="AA135" s="27"/>
      <x:c r="AB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  <x:c r="AA136" s="27"/>
      <x:c r="AB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  <x:c r="AA137" s="27"/>
      <x:c r="AB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  <x:c r="AA138" s="27"/>
      <x:c r="AB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  <x:c r="AA139" s="27"/>
      <x:c r="AB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  <x:c r="AA140" s="27"/>
      <x:c r="AB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  <x:c r="AA141" s="27"/>
      <x:c r="AB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  <x:c r="AA142" s="27"/>
      <x:c r="AB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  <x:c r="AA143" s="27"/>
      <x:c r="AB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  <x:c r="AA144" s="27"/>
      <x:c r="AB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  <x:c r="AA145" s="27"/>
      <x:c r="AB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  <x:c r="AA146" s="27"/>
      <x:c r="AB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  <x:c r="AA147" s="27"/>
      <x:c r="AB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  <x:c r="AA148" s="27"/>
      <x:c r="AB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  <x:c r="AA149" s="27"/>
      <x:c r="AB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  <x:c r="AA150" s="27"/>
      <x:c r="AB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  <x:c r="AA151" s="27"/>
      <x:c r="AB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  <x:c r="AA152" s="27"/>
      <x:c r="AB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  <x:c r="AA153" s="27"/>
      <x:c r="AB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  <x:c r="AA154" s="27"/>
      <x:c r="AB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  <x:c r="AA155" s="27"/>
      <x:c r="AB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  <x:c r="AA156" s="27"/>
      <x:c r="AB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  <x:c r="AA157" s="27"/>
      <x:c r="AB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  <x:c r="AA158" s="27"/>
      <x:c r="AB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  <x:c r="AA159" s="27"/>
      <x:c r="AB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  <x:c r="AA160" s="27"/>
      <x:c r="AB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  <x:c r="AA161" s="27"/>
      <x:c r="AB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  <x:c r="AA162" s="27"/>
      <x:c r="AB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  <x:c r="AA163" s="27"/>
      <x:c r="AB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  <x:c r="AA164" s="27"/>
      <x:c r="AB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  <x:c r="AA165" s="27"/>
      <x:c r="AB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  <x:c r="AA166" s="27"/>
      <x:c r="AB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  <x:c r="AA167" s="27"/>
      <x:c r="AB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  <x:c r="AA168" s="27"/>
      <x:c r="AB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  <x:c r="AA169" s="27"/>
      <x:c r="AB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  <x:c r="AA170" s="27"/>
      <x:c r="AB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  <x:c r="AA171" s="27"/>
      <x:c r="AB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  <x:c r="AA172" s="27"/>
      <x:c r="AB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  <x:c r="AA173" s="27"/>
      <x:c r="AB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  <x:c r="AA174" s="27"/>
      <x:c r="AB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  <x:c r="AA175" s="27"/>
      <x:c r="AB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  <x:c r="AA176" s="27"/>
      <x:c r="AB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  <x:c r="AA177" s="27"/>
      <x:c r="AB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  <x:c r="AA178" s="27"/>
      <x:c r="AB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  <x:c r="AA179" s="27"/>
      <x:c r="AB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  <x:c r="AA180" s="27"/>
      <x:c r="AB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  <x:c r="AA181" s="27"/>
      <x:c r="AB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  <x:c r="AA182" s="27"/>
      <x:c r="AB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  <x:c r="AA183" s="27"/>
      <x:c r="AB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  <x:c r="AA184" s="27"/>
      <x:c r="AB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  <x:c r="AA185" s="27"/>
      <x:c r="AB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  <x:c r="AA186" s="27"/>
      <x:c r="AB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  <x:c r="AA187" s="27"/>
      <x:c r="AB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  <x:c r="AA188" s="27"/>
      <x:c r="AB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  <x:c r="AA189" s="27"/>
      <x:c r="AB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  <x:c r="AA190" s="27"/>
      <x:c r="AB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  <x:c r="AA191" s="27"/>
      <x:c r="AB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  <x:c r="AA192" s="27"/>
      <x:c r="AB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  <x:c r="AA193" s="27"/>
      <x:c r="AB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  <x:c r="AA194" s="27"/>
      <x:c r="AB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  <x:c r="AA195" s="27"/>
      <x:c r="AB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  <x:c r="AA196" s="27"/>
      <x:c r="AB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  <x:c r="AA197" s="27"/>
      <x:c r="AB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  <x:c r="AA198" s="27"/>
      <x:c r="AB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  <x:c r="AA199" s="27"/>
      <x:c r="AB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  <x:c r="AA200" s="27"/>
      <x:c r="AB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  <x:c r="AA201" s="27"/>
      <x:c r="AB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  <x:c r="AA202" s="27"/>
      <x:c r="AB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  <x:c r="AA203" s="27"/>
      <x:c r="AB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  <x:c r="AA204" s="27"/>
      <x:c r="AB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  <x:c r="AA205" s="27"/>
      <x:c r="AB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  <x:c r="Z206" s="27"/>
      <x:c r="AA206" s="27"/>
      <x:c r="AB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  <x:c r="Z207" s="27"/>
      <x:c r="AA207" s="27"/>
      <x:c r="AB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  <x:c r="Z208" s="27"/>
      <x:c r="AA208" s="27"/>
      <x:c r="AB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  <x:c r="Z209" s="27"/>
      <x:c r="AA209" s="27"/>
      <x:c r="AB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  <x:c r="Z210" s="27"/>
      <x:c r="AA210" s="27"/>
      <x:c r="AB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  <x:c r="Z211" s="27"/>
      <x:c r="AA211" s="27"/>
      <x:c r="AB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  <x:c r="Z212" s="27"/>
      <x:c r="AA212" s="27"/>
      <x:c r="AB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  <x:c r="Z213" s="27"/>
      <x:c r="AA213" s="27"/>
      <x:c r="AB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  <x:c r="Z214" s="27"/>
      <x:c r="AA214" s="27"/>
      <x:c r="AB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  <x:c r="Z215" s="27"/>
      <x:c r="AA215" s="27"/>
      <x:c r="AB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  <x:c r="Z216" s="27"/>
      <x:c r="AA216" s="27"/>
      <x:c r="AB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  <x:c r="Z217" s="27"/>
      <x:c r="AA217" s="27"/>
      <x:c r="AB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  <x:c r="Z218" s="27"/>
      <x:c r="AA218" s="27"/>
      <x:c r="AB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  <x:c r="Z219" s="27"/>
      <x:c r="AA219" s="27"/>
      <x:c r="AB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  <x:c r="Z220" s="27"/>
      <x:c r="AA220" s="27"/>
      <x:c r="AB220" s="27"/>
    </x:row>
  </x:sheetData>
  <x:conditionalFormatting sqref="E5:E16">
    <x:cfRule type="containsText" dxfId="12" priority="1" operator="containsText" text="PASS"/>
    <x:cfRule type="containsText" dxfId="13" priority="2" operator="containsText" text="CHECK"/>
    <x:cfRule type="containsText" dxfId="14" priority="3" operator="containsText" text="REVIEW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44" hidden="0" customWidth="1"/>
    <x:col min="4" max="4" width="60" hidden="0" customWidth="1"/>
    <x:col min="5" max="5" width="60" hidden="0" customWidth="1"/>
  </x:cols>
  <x:sheetData>
    <x:row r="1" ht="28" customHeight="1">
      <x:c r="A1" s="26" t="str">
        <x:v>Report Checklist</x:v>
      </x:c>
      <x:c r="B1" s="26"/>
      <x:c r="C1" s="26"/>
      <x:c r="D1" s="26"/>
      <x:c r="E1" s="26"/>
      <x:c r="F1" s="26"/>
      <x:c r="G1" s="26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  <x:c r="AA1" s="27"/>
      <x:c r="AB1" s="27"/>
    </x:row>
    <x:row r="2" ht="46" customHeight="1">
      <x:c r="A2" s="28" t="str">
        <x:v>Reports and report filters to run as evidence during manual Finance module testing.</x:v>
      </x:c>
      <x:c r="B2" s="28"/>
      <x:c r="C2" s="28"/>
      <x:c r="D2" s="28"/>
      <x:c r="E2" s="28"/>
      <x:c r="F2" s="28"/>
      <x:c r="G2" s="28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</x:row>
    <x:row r="4">
      <x:c r="A4" s="31" t="str">
        <x:v>Report</x:v>
      </x:c>
      <x:c r="B4" s="31" t="str">
        <x:v>Date/Period</x:v>
      </x:c>
      <x:c r="C4" s="31" t="str">
        <x:v>Filters</x:v>
      </x:c>
      <x:c r="D4" s="31" t="str">
        <x:v>Expected Evidence</x:v>
      </x:c>
      <x:c r="E4" s="31" t="str">
        <x:v>If It Does Not Tie</x:v>
      </x:c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  <x:c r="AA4" s="27"/>
      <x:c r="AB4" s="27"/>
    </x:row>
    <x:row r="5">
      <x:c r="A5" s="30" t="str">
        <x:v>Trial Balance</x:v>
      </x:c>
      <x:c r="B5" s="30" t="str">
        <x:v>2026-06-30</x:v>
      </x:c>
      <x:c r="C5" s="30" t="str">
        <x:v>Book=IFRS/Base as configured; include all segments</x:v>
      </x:c>
      <x:c r="D5" s="30" t="str">
        <x:v>Total debits equal total credits; account movements agree to Reconciliation_Checks.</x:v>
      </x:c>
      <x:c r="E5" s="30" t="str">
        <x:v>If out of balance, inspect unposted/partial posting events and journal line generation.</x:v>
      </x:c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  <x:c r="AB5" s="27"/>
    </x:row>
    <x:row r="6">
      <x:c r="A6" s="30" t="str">
        <x:v>Detailed Ledger - 1990</x:v>
      </x:c>
      <x:c r="B6" s="30" t="str">
        <x:v>2026-06-01 to 2026-06-30</x:v>
      </x:c>
      <x:c r="C6" s="30" t="str">
        <x:v>Account=000-1990-0000</x:v>
      </x:c>
      <x:c r="D6" s="30" t="str">
        <x:v>Migration clearing net is zero after opening balances.</x:v>
      </x:c>
      <x:c r="E6" s="30" t="str">
        <x:v>Residual suggests missing AR/AP opening offset or retained earnings clearing line.</x:v>
      </x:c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  <x:c r="AA6" s="27"/>
      <x:c r="AB6" s="27"/>
    </x:row>
    <x:row r="7">
      <x:c r="A7" s="30" t="str">
        <x:v>Detailed Ledger - 1100</x:v>
      </x:c>
      <x:c r="B7" s="30" t="str">
        <x:v>2026-06-01 to 2026-06-30</x:v>
      </x:c>
      <x:c r="C7" s="30" t="str">
        <x:v>Account=000-1100-0000</x:v>
      </x:c>
      <x:c r="D7" s="30" t="str">
        <x:v>AR movement ties to AR aging/customer statements and expected GL.</x:v>
      </x:c>
      <x:c r="E7" s="30" t="str">
        <x:v>Differences indicate unallocated payments, credit note issue, or FX revaluation omission.</x:v>
      </x:c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  <x:c r="AA7" s="27"/>
      <x:c r="AB7" s="27"/>
    </x:row>
    <x:row r="8">
      <x:c r="A8" s="30" t="str">
        <x:v>Detailed Ledger - 2000</x:v>
      </x:c>
      <x:c r="B8" s="30" t="str">
        <x:v>2026-06-01 to 2026-06-30</x:v>
      </x:c>
      <x:c r="C8" s="30" t="str">
        <x:v>Account=000-2000-0000</x:v>
      </x:c>
      <x:c r="D8" s="30" t="str">
        <x:v>AP movement ties to AP aging/supplier statements and expected GL.</x:v>
      </x:c>
      <x:c r="E8" s="30" t="str">
        <x:v>Differences indicate payment allocation, WHT, GRV clearing or FX issue.</x:v>
      </x:c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  <x:c r="AA8" s="27"/>
      <x:c r="AB8" s="27"/>
    </x:row>
    <x:row r="9">
      <x:c r="A9" s="30" t="str">
        <x:v>AR Aging</x:v>
      </x:c>
      <x:c r="B9" s="30" t="str">
        <x:v>As of 2026-06-30</x:v>
      </x:c>
      <x:c r="C9" s="30" t="str">
        <x:v>All customers; include FCY where supported</x:v>
      </x:c>
      <x:c r="D9" s="30" t="str">
        <x:v>Golden Coast June invoice fully settled; opening AR and USD open item remain.</x:v>
      </x:c>
      <x:c r="E9" s="30" t="str">
        <x:v>Aging bucket uses due dates and should not include fully paid invoice.</x:v>
      </x:c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  <x:c r="AA9" s="27"/>
      <x:c r="AB9" s="27"/>
    </x:row>
    <x:row r="10">
      <x:c r="A10" s="30" t="str">
        <x:v>Customer Statement</x:v>
      </x:c>
      <x:c r="B10" s="30" t="str">
        <x:v>2026-06-01 to 2026-06-30</x:v>
      </x:c>
      <x:c r="C10" s="30" t="str">
        <x:v>Golden Coast Homes Ltd and USD Customer</x:v>
      </x:c>
      <x:c r="D10" s="30" t="str">
        <x:v>Invoice, receipt, credit note and WHT entries are in chronological order.</x:v>
      </x:c>
      <x:c r="E10" s="30" t="str">
        <x:v>Statement balance must equal AR ledger for each customer.</x:v>
      </x:c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  <x:c r="AA10" s="27"/>
      <x:c r="AB10" s="27"/>
    </x:row>
    <x:row r="11">
      <x:c r="A11" s="30" t="str">
        <x:v>AP Aging</x:v>
      </x:c>
      <x:c r="B11" s="30" t="str">
        <x:v>As of 2026-06-30</x:v>
      </x:c>
      <x:c r="C11" s="30" t="str">
        <x:v>All suppliers; include FCY where supported</x:v>
      </x:c>
      <x:c r="D11" s="30" t="str">
        <x:v>Paid AP invoices removed; opening USD AP and unpaid invoices remain.</x:v>
      </x:c>
      <x:c r="E11" s="30" t="str">
        <x:v>WHT should not remain as supplier payable.</x:v>
      </x:c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  <x:c r="AA11" s="27"/>
      <x:c r="AB11" s="27"/>
    </x:row>
    <x:row r="12">
      <x:c r="A12" s="30" t="str">
        <x:v>Supplier Statement</x:v>
      </x:c>
      <x:c r="B12" s="30" t="str">
        <x:v>2026-06-01 to 2026-06-30</x:v>
      </x:c>
      <x:c r="C12" s="30" t="str">
        <x:v>Adom Construction Ltd and USD Supplier</x:v>
      </x:c>
      <x:c r="D12" s="30" t="str">
        <x:v>Invoices, payments, discounts and WHT display correctly.</x:v>
      </x:c>
      <x:c r="E12" s="30" t="str">
        <x:v>Matched GRV invoice should not duplicate liability.</x:v>
      </x:c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  <x:c r="AA12" s="27"/>
      <x:c r="AB12" s="27"/>
    </x:row>
    <x:row r="13">
      <x:c r="A13" s="30" t="str">
        <x:v>Cash/Bank Ledger</x:v>
      </x:c>
      <x:c r="B13" s="30" t="str">
        <x:v>2026-06-01 to 2026-06-30</x:v>
      </x:c>
      <x:c r="C13" s="30" t="str">
        <x:v>Bank/Cash accounts 1000 and 1010</x:v>
      </x:c>
      <x:c r="D13" s="30" t="str">
        <x:v>Opening plus receipts less payments equals closing cash check.</x:v>
      </x:c>
      <x:c r="E13" s="30" t="str">
        <x:v>Bank transfer should be neutral at consolidated cash level.</x:v>
      </x:c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  <x:c r="AA13" s="27"/>
      <x:c r="AB13" s="27"/>
    </x:row>
    <x:row r="14">
      <x:c r="A14" s="30" t="str">
        <x:v>Bank Reconciliation</x:v>
      </x:c>
      <x:c r="B14" s="30" t="str">
        <x:v>June 2026</x:v>
      </x:c>
      <x:c r="C14" s="30" t="str">
        <x:v>Operating bank account</x:v>
      </x:c>
      <x:c r="D14" s="30" t="str">
        <x:v>Bank charge and interest adjustments are matched/posted.</x:v>
      </x:c>
      <x:c r="E14" s="30" t="str">
        <x:v>Duplicate statement adjustment should be blocked or reversed.</x:v>
      </x:c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  <x:c r="AA14" s="27"/>
      <x:c r="AB14" s="27"/>
    </x:row>
    <x:row r="15">
      <x:c r="A15" s="30" t="str">
        <x:v>Income Statement</x:v>
      </x:c>
      <x:c r="B15" s="30" t="str">
        <x:v>2026-06-01 to 2026-06-30</x:v>
      </x:c>
      <x:c r="C15" s="30" t="str">
        <x:v>By DEPT and Project where supported</x:v>
      </x:c>
      <x:c r="D15" s="30" t="str">
        <x:v>Revenue, COGS/opex, depreciation, FX and disposal gain agree to expected GL.</x:v>
      </x:c>
      <x:c r="E15" s="30" t="str">
        <x:v>Contra revenue and discount accounts should present correctly.</x:v>
      </x:c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  <x:c r="AA15" s="27"/>
      <x:c r="AB15" s="27"/>
    </x:row>
    <x:row r="16">
      <x:c r="A16" s="30" t="str">
        <x:v>Balance Sheet</x:v>
      </x:c>
      <x:c r="B16" s="30" t="str">
        <x:v>As of 2026-06-30</x:v>
      </x:c>
      <x:c r="C16" s="30" t="str">
        <x:v>All segments</x:v>
      </x:c>
      <x:c r="D16" s="30" t="str">
        <x:v>Cash, AR, AP, FA cost, accumulated depreciation, debt and equity agree to expected GL.</x:v>
      </x:c>
      <x:c r="E16" s="30" t="str">
        <x:v>Control accounts should reconcile to subledgers.</x:v>
      </x:c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  <x:c r="AA16" s="27"/>
      <x:c r="AB16" s="27"/>
    </x:row>
    <x:row r="17">
      <x:c r="A17" s="30" t="str">
        <x:v>Cash Flow Statement</x:v>
      </x:c>
      <x:c r="B17" s="30" t="str">
        <x:v>2026-06-01 to 2026-06-30</x:v>
      </x:c>
      <x:c r="C17" s="30" t="str">
        <x:v>Indirect/direct method as implemented</x:v>
      </x:c>
      <x:c r="D17" s="30" t="str">
        <x:v>Cash changes agree to Cash/Bank Ledger.</x:v>
      </x:c>
      <x:c r="E17" s="30" t="str">
        <x:v>FA additions/disposals should classify as investing activity if supported.</x:v>
      </x:c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  <x:c r="AA17" s="27"/>
      <x:c r="AB17" s="27"/>
    </x:row>
    <x:row r="18">
      <x:c r="A18" s="30" t="str">
        <x:v>Multi-Currency Detail</x:v>
      </x:c>
      <x:c r="B18" s="30" t="str">
        <x:v>As of 2026-06-30</x:v>
      </x:c>
      <x:c r="C18" s="30" t="str">
        <x:v>Currency=USD</x:v>
      </x:c>
      <x:c r="D18" s="30" t="str">
        <x:v>Open USD AR/AP balances and revaluation entries shown with source rates.</x:v>
      </x:c>
      <x:c r="E18" s="30" t="str">
        <x:v>Realized and unrealized FX must be separated.</x:v>
      </x:c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  <x:c r="AA18" s="27"/>
      <x:c r="AB18" s="27"/>
    </x:row>
    <x:row r="19">
      <x:c r="A19" s="30" t="str">
        <x:v>Tax Report</x:v>
      </x:c>
      <x:c r="B19" s="30" t="str">
        <x:v>2026-06-01 to 2026-06-30</x:v>
      </x:c>
      <x:c r="C19" s="30" t="str">
        <x:v>VAT/WHT all counterparties</x:v>
      </x:c>
      <x:c r="D19" s="30" t="str">
        <x:v>Output VAT, input VAT, supplier WHT and customer WHT agree to 2200 ledger.</x:v>
      </x:c>
      <x:c r="E19" s="30" t="str">
        <x:v>Inactive COVID levy should not appear in standard VAT scheme.</x:v>
      </x:c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  <x:c r="AA19" s="27"/>
      <x:c r="AB19" s="27"/>
    </x:row>
    <x:row r="20">
      <x:c r="A20" s="30" t="str">
        <x:v>Fixed Asset Register</x:v>
      </x:c>
      <x:c r="B20" s="30" t="str">
        <x:v>As of 2026-06-30</x:v>
      </x:c>
      <x:c r="C20" s="30" t="str">
        <x:v>All active/disposed assets</x:v>
      </x:c>
      <x:c r="D20" s="30" t="str">
        <x:v>Cost, AD and NBV agree to fixed asset roll-forward and GL.</x:v>
      </x:c>
      <x:c r="E20" s="30" t="str">
        <x:v>Disposed truck should no longer be active.</x:v>
      </x:c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  <x:c r="AA20" s="27"/>
      <x:c r="AB20" s="27"/>
    </x:row>
    <x:row r="21">
      <x:c r="A21" s="30" t="str">
        <x:v>Depreciation Schedule</x:v>
      </x:c>
      <x:c r="B21" s="30" t="str">
        <x:v>June 2026</x:v>
      </x:c>
      <x:c r="C21" s="30" t="str">
        <x:v>All active assets</x:v>
      </x:c>
      <x:c r="D21" s="30" t="str">
        <x:v>Posted depreciation totals 14,340.83 before impairment/disposal effects.</x:v>
      </x:c>
      <x:c r="E21" s="30" t="str">
        <x:v>No duplicate period lines; new asset convention applied once.</x:v>
      </x:c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  <x:c r="AA21" s="27"/>
      <x:c r="AB21" s="27"/>
    </x:row>
    <x:row r="22">
      <x:c r="A22" s="30" t="str">
        <x:v>Asset Disposal Register</x:v>
      </x:c>
      <x:c r="B22" s="30" t="str">
        <x:v>June 2026</x:v>
      </x:c>
      <x:c r="C22" s="30" t="str">
        <x:v>Disposals only</x:v>
      </x:c>
      <x:c r="D22" s="30" t="str">
        <x:v>Truck disposal proceeds, NBV and gain/loss agree to expected GL.</x:v>
      </x:c>
      <x:c r="E22" s="30" t="str">
        <x:v>Gain/loss account mapping should be explicit.</x:v>
      </x:c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  <x:c r="AA22" s="27"/>
      <x:c r="AB22" s="27"/>
    </x:row>
    <x:row r="23">
      <x:c r="A23" s="30" t="str">
        <x:v>Budget vs Actual</x:v>
      </x:c>
      <x:c r="B23" s="30" t="str">
        <x:v>June 2026</x:v>
      </x:c>
      <x:c r="C23" s="30" t="str">
        <x:v>FY2026 Original; departments 100/200/300</x:v>
      </x:c>
      <x:c r="D23" s="30" t="str">
        <x:v>Actuals from GL compare to approved budget entries.</x:v>
      </x:c>
      <x:c r="E23" s="30" t="str">
        <x:v>Budget scenario and return statuses should prevent edits after approval/lock.</x:v>
      </x:c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  <x:c r="AA23" s="27"/>
      <x:c r="AB23" s="27"/>
    </x:row>
    <x:row r="24">
      <x:c r="A24" s="30" t="str">
        <x:v>Unit Budget Variance</x:v>
      </x:c>
      <x:c r="B24" s="30" t="str">
        <x:v>June 2026</x:v>
      </x:c>
      <x:c r="C24" s="30" t="str">
        <x:v>EMP/SQFT/HRS accounts</x:v>
      </x:c>
      <x:c r="D24" s="30" t="str">
        <x:v>Actual unit balances compare to unit budgets.</x:v>
      </x:c>
      <x:c r="E24" s="30" t="str">
        <x:v>Parent unit accounts should roll up child postings.</x:v>
      </x:c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  <x:c r="AA24" s="27"/>
      <x:c r="AB24" s="27"/>
    </x:row>
    <x:row r="25">
      <x:c r="A25" s="30" t="str">
        <x:v>Allocation Preview/Posting</x:v>
      </x:c>
      <x:c r="B25" s="30" t="str">
        <x:v>June 2026</x:v>
      </x:c>
      <x:c r="C25" s="30" t="str">
        <x:v>Driver=EMP headcount</x:v>
      </x:c>
      <x:c r="D25" s="30" t="str">
        <x:v>Allocation percentages sum to 100%; generated journals balance.</x:v>
      </x:c>
      <x:c r="E25" s="30" t="str">
        <x:v>Zero or missing driver balance should be handled explicitly.</x:v>
      </x:c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  <x:c r="AA25" s="27"/>
      <x:c r="AB25" s="27"/>
    </x:row>
    <x:row r="26">
      <x:c r="A26" s="30" t="str">
        <x:v>Finance Dashboard</x:v>
      </x:c>
      <x:c r="B26" s="30" t="str">
        <x:v>After all postings</x:v>
      </x:c>
      <x:c r="C26" s="30" t="str">
        <x:v>Default tenant</x:v>
      </x:c>
      <x:c r="D26" s="30" t="str">
        <x:v>Headline KPIs reflect current AR/AP/cash/revenue/expense position.</x:v>
      </x:c>
      <x:c r="E26" s="30" t="str">
        <x:v>Dashboard should not include draft/unposted documents.</x:v>
      </x:c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  <x:c r="AA26" s="27"/>
      <x:c r="AB26" s="27"/>
    </x:row>
    <x:row r="27">
      <x:c r="A27" s="30" t="str">
        <x:v>Audit/Event Log</x:v>
      </x:c>
      <x:c r="B27" s="30" t="str">
        <x:v>All June tests</x:v>
      </x:c>
      <x:c r="C27" s="30" t="str">
        <x:v>Filter by Finance modules</x:v>
      </x:c>
      <x:c r="D27" s="30" t="str">
        <x:v>Create, submit, approve, post, reverse and export actions are logged.</x:v>
      </x:c>
      <x:c r="E27" s="30" t="str">
        <x:v>Missing audit events weaken UAT sign-off evidence.</x:v>
      </x:c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  <x:c r="AA27" s="27"/>
      <x:c r="AB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  <x:c r="AA28" s="27"/>
      <x:c r="AB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  <x:c r="AA29" s="27"/>
      <x:c r="AB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  <x:c r="AA30" s="27"/>
      <x:c r="AB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  <x:c r="AA31" s="27"/>
      <x:c r="AB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  <x:c r="AA32" s="27"/>
      <x:c r="AB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  <x:c r="AA33" s="27"/>
      <x:c r="AB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  <x:c r="AA34" s="27"/>
      <x:c r="AB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  <x:c r="AA35" s="27"/>
      <x:c r="AB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  <x:c r="AA36" s="27"/>
      <x:c r="AB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  <x:c r="AA37" s="27"/>
      <x:c r="AB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  <x:c r="AA38" s="27"/>
      <x:c r="AB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  <x:c r="AA39" s="27"/>
      <x:c r="AB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  <x:c r="AA40" s="27"/>
      <x:c r="AB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  <x:c r="AA41" s="27"/>
      <x:c r="AB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  <x:c r="AA42" s="27"/>
      <x:c r="AB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  <x:c r="AA43" s="27"/>
      <x:c r="AB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  <x:c r="AA44" s="27"/>
      <x:c r="AB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  <x:c r="AA45" s="27"/>
      <x:c r="AB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  <x:c r="AA46" s="27"/>
      <x:c r="AB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  <x:c r="AA47" s="27"/>
      <x:c r="AB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  <x:c r="AA48" s="27"/>
      <x:c r="AB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  <x:c r="AA49" s="27"/>
      <x:c r="AB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  <x:c r="AA50" s="27"/>
      <x:c r="AB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  <x:c r="AA51" s="27"/>
      <x:c r="AB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  <x:c r="AA52" s="27"/>
      <x:c r="AB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  <x:c r="AA53" s="27"/>
      <x:c r="AB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  <x:c r="AA54" s="27"/>
      <x:c r="AB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  <x:c r="AA55" s="27"/>
      <x:c r="AB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  <x:c r="AA56" s="27"/>
      <x:c r="AB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  <x:c r="AA57" s="27"/>
      <x:c r="AB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  <x:c r="AA58" s="27"/>
      <x:c r="AB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  <x:c r="AA59" s="27"/>
      <x:c r="AB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  <x:c r="AA60" s="27"/>
      <x:c r="AB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  <x:c r="AA61" s="27"/>
      <x:c r="AB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  <x:c r="AA62" s="27"/>
      <x:c r="AB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  <x:c r="AA63" s="27"/>
      <x:c r="AB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  <x:c r="AA64" s="27"/>
      <x:c r="AB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  <x:c r="AA65" s="27"/>
      <x:c r="AB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  <x:c r="AA66" s="27"/>
      <x:c r="AB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  <x:c r="AA67" s="27"/>
      <x:c r="AB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  <x:c r="AA68" s="27"/>
      <x:c r="AB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  <x:c r="AA69" s="27"/>
      <x:c r="AB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  <x:c r="AA70" s="27"/>
      <x:c r="AB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  <x:c r="AA71" s="27"/>
      <x:c r="AB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  <x:c r="AA72" s="27"/>
      <x:c r="AB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  <x:c r="AA73" s="27"/>
      <x:c r="AB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  <x:c r="AA74" s="27"/>
      <x:c r="AB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  <x:c r="AA75" s="27"/>
      <x:c r="AB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  <x:c r="AA76" s="27"/>
      <x:c r="AB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  <x:c r="AA77" s="27"/>
      <x:c r="AB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  <x:c r="AA78" s="27"/>
      <x:c r="AB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  <x:c r="AA79" s="27"/>
      <x:c r="AB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  <x:c r="AA80" s="27"/>
      <x:c r="AB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  <x:c r="AA81" s="27"/>
      <x:c r="AB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  <x:c r="AA82" s="27"/>
      <x:c r="AB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  <x:c r="AA83" s="27"/>
      <x:c r="AB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  <x:c r="AA84" s="27"/>
      <x:c r="AB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  <x:c r="AA85" s="27"/>
      <x:c r="AB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  <x:c r="AA86" s="27"/>
      <x:c r="AB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  <x:c r="AA87" s="27"/>
      <x:c r="AB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  <x:c r="AA88" s="27"/>
      <x:c r="AB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  <x:c r="AA89" s="27"/>
      <x:c r="AB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  <x:c r="AA90" s="27"/>
      <x:c r="AB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  <x:c r="AA91" s="27"/>
      <x:c r="AB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  <x:c r="AA92" s="27"/>
      <x:c r="AB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  <x:c r="AA93" s="27"/>
      <x:c r="AB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  <x:c r="AA94" s="27"/>
      <x:c r="AB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  <x:c r="AA95" s="27"/>
      <x:c r="AB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  <x:c r="AA96" s="27"/>
      <x:c r="AB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  <x:c r="AA97" s="27"/>
      <x:c r="AB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  <x:c r="AA98" s="27"/>
      <x:c r="AB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  <x:c r="AA99" s="27"/>
      <x:c r="AB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  <x:c r="AA100" s="27"/>
      <x:c r="AB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  <x:c r="AA101" s="27"/>
      <x:c r="AB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  <x:c r="AA102" s="27"/>
      <x:c r="AB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  <x:c r="AA103" s="27"/>
      <x:c r="AB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  <x:c r="AA104" s="27"/>
      <x:c r="AB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  <x:c r="AA105" s="27"/>
      <x:c r="AB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  <x:c r="AA106" s="27"/>
      <x:c r="AB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  <x:c r="AA107" s="27"/>
      <x:c r="AB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  <x:c r="AA108" s="27"/>
      <x:c r="AB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  <x:c r="AA109" s="27"/>
      <x:c r="AB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  <x:c r="AA110" s="27"/>
      <x:c r="AB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  <x:c r="AA111" s="27"/>
      <x:c r="AB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  <x:c r="AA112" s="27"/>
      <x:c r="AB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  <x:c r="AA113" s="27"/>
      <x:c r="AB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  <x:c r="AA114" s="27"/>
      <x:c r="AB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  <x:c r="AA115" s="27"/>
      <x:c r="AB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  <x:c r="AA116" s="27"/>
      <x:c r="AB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  <x:c r="AA117" s="27"/>
      <x:c r="AB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  <x:c r="AA118" s="27"/>
      <x:c r="AB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  <x:c r="AA119" s="27"/>
      <x:c r="AB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  <x:c r="AA120" s="27"/>
      <x:c r="AB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  <x:c r="AA121" s="27"/>
      <x:c r="AB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  <x:c r="AA122" s="27"/>
      <x:c r="AB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  <x:c r="AA123" s="27"/>
      <x:c r="AB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  <x:c r="AA124" s="27"/>
      <x:c r="AB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  <x:c r="AA125" s="27"/>
      <x:c r="AB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  <x:c r="AA126" s="27"/>
      <x:c r="AB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  <x:c r="AA127" s="27"/>
      <x:c r="AB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  <x:c r="AA128" s="27"/>
      <x:c r="AB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  <x:c r="AA129" s="27"/>
      <x:c r="AB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  <x:c r="AA130" s="27"/>
      <x:c r="AB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  <x:c r="AA131" s="27"/>
      <x:c r="AB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  <x:c r="AA132" s="27"/>
      <x:c r="AB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  <x:c r="AA133" s="27"/>
      <x:c r="AB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  <x:c r="AA134" s="27"/>
      <x:c r="AB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  <x:c r="AA135" s="27"/>
      <x:c r="AB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  <x:c r="AA136" s="27"/>
      <x:c r="AB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  <x:c r="AA137" s="27"/>
      <x:c r="AB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  <x:c r="AA138" s="27"/>
      <x:c r="AB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  <x:c r="AA139" s="27"/>
      <x:c r="AB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  <x:c r="AA140" s="27"/>
      <x:c r="AB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  <x:c r="AA141" s="27"/>
      <x:c r="AB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  <x:c r="AA142" s="27"/>
      <x:c r="AB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  <x:c r="AA143" s="27"/>
      <x:c r="AB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  <x:c r="AA144" s="27"/>
      <x:c r="AB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  <x:c r="AA145" s="27"/>
      <x:c r="AB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  <x:c r="AA146" s="27"/>
      <x:c r="AB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  <x:c r="AA147" s="27"/>
      <x:c r="AB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  <x:c r="AA148" s="27"/>
      <x:c r="AB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  <x:c r="AA149" s="27"/>
      <x:c r="AB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  <x:c r="AA150" s="27"/>
      <x:c r="AB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  <x:c r="AA151" s="27"/>
      <x:c r="AB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  <x:c r="AA152" s="27"/>
      <x:c r="AB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  <x:c r="AA153" s="27"/>
      <x:c r="AB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  <x:c r="AA154" s="27"/>
      <x:c r="AB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  <x:c r="AA155" s="27"/>
      <x:c r="AB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  <x:c r="AA156" s="27"/>
      <x:c r="AB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  <x:c r="AA157" s="27"/>
      <x:c r="AB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  <x:c r="AA158" s="27"/>
      <x:c r="AB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  <x:c r="AA159" s="27"/>
      <x:c r="AB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  <x:c r="AA160" s="27"/>
      <x:c r="AB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  <x:c r="AA161" s="27"/>
      <x:c r="AB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  <x:c r="AA162" s="27"/>
      <x:c r="AB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  <x:c r="AA163" s="27"/>
      <x:c r="AB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  <x:c r="AA164" s="27"/>
      <x:c r="AB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  <x:c r="AA165" s="27"/>
      <x:c r="AB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  <x:c r="AA166" s="27"/>
      <x:c r="AB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  <x:c r="AA167" s="27"/>
      <x:c r="AB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  <x:c r="AA168" s="27"/>
      <x:c r="AB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  <x:c r="AA169" s="27"/>
      <x:c r="AB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  <x:c r="AA170" s="27"/>
      <x:c r="AB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  <x:c r="AA171" s="27"/>
      <x:c r="AB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  <x:c r="AA172" s="27"/>
      <x:c r="AB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  <x:c r="AA173" s="27"/>
      <x:c r="AB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  <x:c r="AA174" s="27"/>
      <x:c r="AB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  <x:c r="AA175" s="27"/>
      <x:c r="AB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  <x:c r="AA176" s="27"/>
      <x:c r="AB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  <x:c r="AA177" s="27"/>
      <x:c r="AB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  <x:c r="AA178" s="27"/>
      <x:c r="AB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  <x:c r="AA179" s="27"/>
      <x:c r="AB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  <x:c r="AA180" s="27"/>
      <x:c r="AB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  <x:c r="AA181" s="27"/>
      <x:c r="AB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  <x:c r="AA182" s="27"/>
      <x:c r="AB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  <x:c r="AA183" s="27"/>
      <x:c r="AB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  <x:c r="AA184" s="27"/>
      <x:c r="AB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  <x:c r="AA185" s="27"/>
      <x:c r="AB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  <x:c r="AA186" s="27"/>
      <x:c r="AB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  <x:c r="AA187" s="27"/>
      <x:c r="AB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  <x:c r="AA188" s="27"/>
      <x:c r="AB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  <x:c r="AA189" s="27"/>
      <x:c r="AB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  <x:c r="AA190" s="27"/>
      <x:c r="AB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  <x:c r="AA191" s="27"/>
      <x:c r="AB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  <x:c r="AA192" s="27"/>
      <x:c r="AB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  <x:c r="AA193" s="27"/>
      <x:c r="AB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  <x:c r="AA194" s="27"/>
      <x:c r="AB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  <x:c r="AA195" s="27"/>
      <x:c r="AB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  <x:c r="AA196" s="27"/>
      <x:c r="AB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  <x:c r="AA197" s="27"/>
      <x:c r="AB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  <x:c r="AA198" s="27"/>
      <x:c r="AB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  <x:c r="AA199" s="27"/>
      <x:c r="AB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  <x:c r="AA200" s="27"/>
      <x:c r="AB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  <x:c r="AA201" s="27"/>
      <x:c r="AB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  <x:c r="AA202" s="27"/>
      <x:c r="AB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  <x:c r="AA203" s="27"/>
      <x:c r="AB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  <x:c r="AA204" s="27"/>
      <x:c r="AB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  <x:c r="AA205" s="27"/>
      <x:c r="AB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  <x:c r="Z206" s="27"/>
      <x:c r="AA206" s="27"/>
      <x:c r="AB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  <x:c r="Z207" s="27"/>
      <x:c r="AA207" s="27"/>
      <x:c r="AB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  <x:c r="Z208" s="27"/>
      <x:c r="AA208" s="27"/>
      <x:c r="AB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  <x:c r="Z209" s="27"/>
      <x:c r="AA209" s="27"/>
      <x:c r="AB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  <x:c r="Z210" s="27"/>
      <x:c r="AA210" s="27"/>
      <x:c r="AB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  <x:c r="Z211" s="27"/>
      <x:c r="AA211" s="27"/>
      <x:c r="AB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  <x:c r="Z212" s="27"/>
      <x:c r="AA212" s="27"/>
      <x:c r="AB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  <x:c r="Z213" s="27"/>
      <x:c r="AA213" s="27"/>
      <x:c r="AB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  <x:c r="Z214" s="27"/>
      <x:c r="AA214" s="27"/>
      <x:c r="AB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  <x:c r="Z215" s="27"/>
      <x:c r="AA215" s="27"/>
      <x:c r="AB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  <x:c r="Z216" s="27"/>
      <x:c r="AA216" s="27"/>
      <x:c r="AB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  <x:c r="Z217" s="27"/>
      <x:c r="AA217" s="27"/>
      <x:c r="AB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  <x:c r="Z218" s="27"/>
      <x:c r="AA218" s="27"/>
      <x:c r="AB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  <x:c r="Z219" s="27"/>
      <x:c r="AA219" s="27"/>
      <x:c r="AB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  <x:c r="Z220" s="27"/>
      <x:c r="AA220" s="27"/>
      <x:c r="AB220" s="27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58" hidden="0" customWidth="1"/>
    <x:col min="4" max="4" width="58" hidden="0" customWidth="1"/>
    <x:col min="5" max="5" width="12" hidden="0" customWidth="1"/>
  </x:cols>
  <x:sheetData>
    <x:row r="1" ht="28" customHeight="1">
      <x:c r="A1" s="26" t="str">
        <x:v>Negative and Control Tests</x:v>
      </x:c>
      <x:c r="B1" s="26"/>
      <x:c r="C1" s="26"/>
      <x:c r="D1" s="26"/>
      <x:c r="E1" s="26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  <x:c r="AA1" s="27"/>
      <x:c r="AB1" s="27"/>
    </x:row>
    <x:row r="2" ht="46" customHeight="1">
      <x:c r="A2" s="28" t="str">
        <x:v>Validation scenarios to confirm the module blocks unsafe or invalid finance activity.</x:v>
      </x:c>
      <x:c r="B2" s="28"/>
      <x:c r="C2" s="28"/>
      <x:c r="D2" s="28"/>
      <x:c r="E2" s="28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</x:row>
    <x:row r="4">
      <x:c r="A4" s="36" t="str">
        <x:v>Test ID</x:v>
      </x:c>
      <x:c r="B4" s="36" t="str">
        <x:v>Scenario</x:v>
      </x:c>
      <x:c r="C4" s="36" t="str">
        <x:v>Action</x:v>
      </x:c>
      <x:c r="D4" s="36" t="str">
        <x:v>Expected Result</x:v>
      </x:c>
      <x:c r="E4" s="36" t="str">
        <x:v>Risk</x:v>
      </x:c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  <x:c r="AA4" s="27"/>
      <x:c r="AB4" s="27"/>
    </x:row>
    <x:row r="5">
      <x:c r="A5" s="30" t="str">
        <x:v>NEG-001</x:v>
      </x:c>
      <x:c r="B5" s="30" t="str">
        <x:v>Posting date in closed period</x:v>
      </x:c>
      <x:c r="C5" s="30" t="str">
        <x:v>Create a GL journal dated 2026-05-31.</x:v>
      </x:c>
      <x:c r="D5" s="30" t="str">
        <x:v>Posting blocked with closed-period message.</x:v>
      </x:c>
      <x:c r="E5" s="30" t="str">
        <x:v>High</x:v>
      </x:c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  <x:c r="AB5" s="27"/>
    </x:row>
    <x:row r="6">
      <x:c r="A6" s="30" t="str">
        <x:v>NEG-002</x:v>
      </x:c>
      <x:c r="B6" s="30" t="str">
        <x:v>Unbalanced GL journal</x:v>
      </x:c>
      <x:c r="C6" s="30" t="str">
        <x:v>Create a journal where debits do not equal credits.</x:v>
      </x:c>
      <x:c r="D6" s="30" t="str">
        <x:v>Save/post blocked; no ledger lines created.</x:v>
      </x:c>
      <x:c r="E6" s="30" t="str">
        <x:v>High</x:v>
      </x:c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  <x:c r="AA6" s="27"/>
      <x:c r="AB6" s="27"/>
    </x:row>
    <x:row r="7">
      <x:c r="A7" s="30" t="str">
        <x:v>NEG-003</x:v>
      </x:c>
      <x:c r="B7" s="30" t="str">
        <x:v>Direct posting to blocked account</x:v>
      </x:c>
      <x:c r="C7" s="30" t="str">
        <x:v>Try direct post to 1500, 2200 or 3100.</x:v>
      </x:c>
      <x:c r="D7" s="30" t="str">
        <x:v>Blocked unless system workflow is the source.</x:v>
      </x:c>
      <x:c r="E7" s="30" t="str">
        <x:v>High</x:v>
      </x:c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  <x:c r="AA7" s="27"/>
      <x:c r="AB7" s="27"/>
    </x:row>
    <x:row r="8">
      <x:c r="A8" s="30" t="str">
        <x:v>NEG-004</x:v>
      </x:c>
      <x:c r="B8" s="30" t="str">
        <x:v>Duplicate supplier invoice</x:v>
      </x:c>
      <x:c r="C8" s="30" t="str">
        <x:v>Create same supplier invoice number/date for same supplier.</x:v>
      </x:c>
      <x:c r="D8" s="30" t="str">
        <x:v>Duplicate warning/block per AP rules.</x:v>
      </x:c>
      <x:c r="E8" s="30" t="str">
        <x:v>High</x:v>
      </x:c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  <x:c r="AA8" s="27"/>
      <x:c r="AB8" s="27"/>
    </x:row>
    <x:row r="9">
      <x:c r="A9" s="30" t="str">
        <x:v>NEG-005</x:v>
      </x:c>
      <x:c r="B9" s="30" t="str">
        <x:v>PO receipt over remaining quantity</x:v>
      </x:c>
      <x:c r="C9" s="30" t="str">
        <x:v>Receive more than ordered/open PO quantity.</x:v>
      </x:c>
      <x:c r="D9" s="30" t="str">
        <x:v>Receipt rejected.</x:v>
      </x:c>
      <x:c r="E9" s="30" t="str">
        <x:v>High</x:v>
      </x:c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  <x:c r="AA9" s="27"/>
      <x:c r="AB9" s="27"/>
    </x:row>
    <x:row r="10">
      <x:c r="A10" s="30" t="str">
        <x:v>NEG-006</x:v>
      </x:c>
      <x:c r="B10" s="30" t="str">
        <x:v>AP payment over unallocated invoice balance</x:v>
      </x:c>
      <x:c r="C10" s="30" t="str">
        <x:v>Allocate payment greater than AP invoice balance.</x:v>
      </x:c>
      <x:c r="D10" s="30" t="str">
        <x:v>Allocation rejected or excess remains unapplied explicitly.</x:v>
      </x:c>
      <x:c r="E10" s="30" t="str">
        <x:v>High</x:v>
      </x:c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  <x:c r="AA10" s="27"/>
      <x:c r="AB10" s="27"/>
    </x:row>
    <x:row r="11">
      <x:c r="A11" s="30" t="str">
        <x:v>NEG-007</x:v>
      </x:c>
      <x:c r="B11" s="30" t="str">
        <x:v>AR receipt over invoice balance</x:v>
      </x:c>
      <x:c r="C11" s="30" t="str">
        <x:v>Allocate receipt greater than AR invoice balance.</x:v>
      </x:c>
      <x:c r="D11" s="30" t="str">
        <x:v>Allocation rejected or excess customer advance recorded explicitly.</x:v>
      </x:c>
      <x:c r="E11" s="30" t="str">
        <x:v>High</x:v>
      </x:c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  <x:c r="AA11" s="27"/>
      <x:c r="AB11" s="27"/>
    </x:row>
    <x:row r="12">
      <x:c r="A12" s="30" t="str">
        <x:v>NEG-008</x:v>
      </x:c>
      <x:c r="B12" s="30" t="str">
        <x:v>Missing USD exchange rate</x:v>
      </x:c>
      <x:c r="C12" s="30" t="str">
        <x:v>Post USD invoice/payment on date with no rate.</x:v>
      </x:c>
      <x:c r="D12" s="30" t="str">
        <x:v>Posting blocked or prompts for valid rate; no silent 1.0 rate.</x:v>
      </x:c>
      <x:c r="E12" s="30" t="str">
        <x:v>High</x:v>
      </x:c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  <x:c r="AA12" s="27"/>
      <x:c r="AB12" s="27"/>
    </x:row>
    <x:row r="13">
      <x:c r="A13" s="30" t="str">
        <x:v>NEG-009</x:v>
      </x:c>
      <x:c r="B13" s="30" t="str">
        <x:v>Remove currency link with history</x:v>
      </x:c>
      <x:c r="C13" s="30" t="str">
        <x:v>Attempt to remove USD link from AR/AP account after transactions.</x:v>
      </x:c>
      <x:c r="D13" s="30" t="str">
        <x:v>Blocked or inactivated only; history preserved.</x:v>
      </x:c>
      <x:c r="E13" s="30" t="str">
        <x:v>Medium</x:v>
      </x:c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  <x:c r="AA13" s="27"/>
      <x:c r="AB13" s="27"/>
    </x:row>
    <x:row r="14">
      <x:c r="A14" s="30" t="str">
        <x:v>NEG-010</x:v>
      </x:c>
      <x:c r="B14" s="30" t="str">
        <x:v>Duplicate depreciation run</x:v>
      </x:c>
      <x:c r="C14" s="30" t="str">
        <x:v>Run June depreciation twice for same asset/date.</x:v>
      </x:c>
      <x:c r="D14" s="30" t="str">
        <x:v>Second run blocked or posts zero with audit explanation.</x:v>
      </x:c>
      <x:c r="E14" s="30" t="str">
        <x:v>High</x:v>
      </x:c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  <x:c r="AA14" s="27"/>
      <x:c r="AB14" s="27"/>
    </x:row>
    <x:row r="15">
      <x:c r="A15" s="30" t="str">
        <x:v>NEG-011</x:v>
      </x:c>
      <x:c r="B15" s="30" t="str">
        <x:v>Dispose asset before current depreciation</x:v>
      </x:c>
      <x:c r="C15" s="30" t="str">
        <x:v>Dispose active asset without current depreciation through disposal date.</x:v>
      </x:c>
      <x:c r="D15" s="30" t="str">
        <x:v>System warns/blocks or computes catch-up depreciation.</x:v>
      </x:c>
      <x:c r="E15" s="30" t="str">
        <x:v>High</x:v>
      </x:c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  <x:c r="AA15" s="27"/>
      <x:c r="AB15" s="27"/>
    </x:row>
    <x:row r="16">
      <x:c r="A16" s="30" t="str">
        <x:v>NEG-012</x:v>
      </x:c>
      <x:c r="B16" s="30" t="str">
        <x:v>Asset transfer without approval</x:v>
      </x:c>
      <x:c r="C16" s="30" t="str">
        <x:v>Move transfer from Draft directly to Completed.</x:v>
      </x:c>
      <x:c r="D16" s="30" t="str">
        <x:v>Workflow prevents status skip if approvals are required.</x:v>
      </x:c>
      <x:c r="E16" s="30" t="str">
        <x:v>Medium</x:v>
      </x:c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  <x:c r="AA16" s="27"/>
      <x:c r="AB16" s="27"/>
    </x:row>
    <x:row r="17">
      <x:c r="A17" s="30" t="str">
        <x:v>NEG-013</x:v>
      </x:c>
      <x:c r="B17" s="30" t="str">
        <x:v>Budget edit after approval/lock</x:v>
      </x:c>
      <x:c r="C17" s="30" t="str">
        <x:v>Edit approved/locked budget entry.</x:v>
      </x:c>
      <x:c r="D17" s="30" t="str">
        <x:v>Edit rejected unless scenario is reopened/revised.</x:v>
      </x:c>
      <x:c r="E17" s="30" t="str">
        <x:v>Medium</x:v>
      </x:c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  <x:c r="AA17" s="27"/>
      <x:c r="AB17" s="27"/>
    </x:row>
    <x:row r="18">
      <x:c r="A18" s="30" t="str">
        <x:v>NEG-014</x:v>
      </x:c>
      <x:c r="B18" s="30" t="str">
        <x:v>Unit posting to summary account</x:v>
      </x:c>
      <x:c r="C18" s="30" t="str">
        <x:v>Post Unit Journal Entry to U-1000 summary account.</x:v>
      </x:c>
      <x:c r="D18" s="30" t="str">
        <x:v>Posting blocked because account is not a posting account.</x:v>
      </x:c>
      <x:c r="E18" s="30" t="str">
        <x:v>Medium</x:v>
      </x:c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  <x:c r="AA18" s="27"/>
      <x:c r="AB18" s="27"/>
    </x:row>
    <x:row r="19">
      <x:c r="A19" s="30" t="str">
        <x:v>NEG-015</x:v>
      </x:c>
      <x:c r="B19" s="30" t="str">
        <x:v>Allocation with zero driver</x:v>
      </x:c>
      <x:c r="C19" s="30" t="str">
        <x:v>Run allocation when one target driver balance is zero.</x:v>
      </x:c>
      <x:c r="D19" s="30" t="str">
        <x:v>Zero target excluded or receives zero; total allocation remains reconciled.</x:v>
      </x:c>
      <x:c r="E19" s="30" t="str">
        <x:v>Medium</x:v>
      </x:c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  <x:c r="AA19" s="27"/>
      <x:c r="AB19" s="27"/>
    </x:row>
    <x:row r="20">
      <x:c r="A20" s="30" t="str">
        <x:v>NEG-016</x:v>
      </x:c>
      <x:c r="B20" s="30" t="str">
        <x:v>Inactive VAT component</x:v>
      </x:c>
      <x:c r="C20" s="30" t="str">
        <x:v>Confirm COVID19 is not included in VAT-STD-SCHEME.</x:v>
      </x:c>
      <x:c r="D20" s="30" t="str">
        <x:v>Tax calculation remains 20%, not 21%.</x:v>
      </x:c>
      <x:c r="E20" s="30" t="str">
        <x:v>High</x:v>
      </x:c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  <x:c r="AA20" s="27"/>
      <x:c r="AB20" s="27"/>
    </x:row>
    <x:row r="21">
      <x:c r="A21" s="30" t="str">
        <x:v>NEG-017</x:v>
      </x:c>
      <x:c r="B21" s="30" t="str">
        <x:v>Voiding posted invoice</x:v>
      </x:c>
      <x:c r="C21" s="30" t="str">
        <x:v>Void a posted AR/AP invoice after settlement.</x:v>
      </x:c>
      <x:c r="D21" s="30" t="str">
        <x:v>Requires reversal/credit workflow; no silent delete.</x:v>
      </x:c>
      <x:c r="E21" s="30" t="str">
        <x:v>High</x:v>
      </x:c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  <x:c r="AA21" s="27"/>
      <x:c r="AB21" s="27"/>
    </x:row>
    <x:row r="22">
      <x:c r="A22" s="30" t="str">
        <x:v>NEG-018</x:v>
      </x:c>
      <x:c r="B22" s="30" t="str">
        <x:v>Cross-tenant access</x:v>
      </x:c>
      <x:c r="C22" s="30" t="str">
        <x:v>Attempt to open documents from another tenant or forged tenant id.</x:v>
      </x:c>
      <x:c r="D22" s="30" t="str">
        <x:v>Access denied; no data leakage.</x:v>
      </x:c>
      <x:c r="E22" s="30" t="str">
        <x:v>High</x:v>
      </x:c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  <x:c r="AA22" s="27"/>
      <x:c r="AB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  <x:c r="AA23" s="27"/>
      <x:c r="AB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  <x:c r="AA24" s="27"/>
      <x:c r="AB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  <x:c r="AA25" s="27"/>
      <x:c r="AB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  <x:c r="AA26" s="27"/>
      <x:c r="AB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  <x:c r="AA27" s="27"/>
      <x:c r="AB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  <x:c r="AA28" s="27"/>
      <x:c r="AB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  <x:c r="AA29" s="27"/>
      <x:c r="AB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  <x:c r="AA30" s="27"/>
      <x:c r="AB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  <x:c r="AA31" s="27"/>
      <x:c r="AB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  <x:c r="AA32" s="27"/>
      <x:c r="AB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  <x:c r="AA33" s="27"/>
      <x:c r="AB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  <x:c r="AA34" s="27"/>
      <x:c r="AB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  <x:c r="AA35" s="27"/>
      <x:c r="AB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  <x:c r="AA36" s="27"/>
      <x:c r="AB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  <x:c r="AA37" s="27"/>
      <x:c r="AB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  <x:c r="AA38" s="27"/>
      <x:c r="AB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  <x:c r="AA39" s="27"/>
      <x:c r="AB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  <x:c r="AA40" s="27"/>
      <x:c r="AB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  <x:c r="AA41" s="27"/>
      <x:c r="AB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  <x:c r="AA42" s="27"/>
      <x:c r="AB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  <x:c r="AA43" s="27"/>
      <x:c r="AB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  <x:c r="AA44" s="27"/>
      <x:c r="AB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  <x:c r="AA45" s="27"/>
      <x:c r="AB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  <x:c r="AA46" s="27"/>
      <x:c r="AB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  <x:c r="AA47" s="27"/>
      <x:c r="AB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  <x:c r="AA48" s="27"/>
      <x:c r="AB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  <x:c r="AA49" s="27"/>
      <x:c r="AB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  <x:c r="AA50" s="27"/>
      <x:c r="AB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  <x:c r="AA51" s="27"/>
      <x:c r="AB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  <x:c r="AA52" s="27"/>
      <x:c r="AB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  <x:c r="AA53" s="27"/>
      <x:c r="AB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  <x:c r="AA54" s="27"/>
      <x:c r="AB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  <x:c r="AA55" s="27"/>
      <x:c r="AB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  <x:c r="AA56" s="27"/>
      <x:c r="AB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  <x:c r="AA57" s="27"/>
      <x:c r="AB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  <x:c r="AA58" s="27"/>
      <x:c r="AB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  <x:c r="AA59" s="27"/>
      <x:c r="AB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  <x:c r="AA60" s="27"/>
      <x:c r="AB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  <x:c r="AA61" s="27"/>
      <x:c r="AB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  <x:c r="AA62" s="27"/>
      <x:c r="AB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  <x:c r="AA63" s="27"/>
      <x:c r="AB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  <x:c r="AA64" s="27"/>
      <x:c r="AB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  <x:c r="AA65" s="27"/>
      <x:c r="AB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  <x:c r="AA66" s="27"/>
      <x:c r="AB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  <x:c r="AA67" s="27"/>
      <x:c r="AB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  <x:c r="AA68" s="27"/>
      <x:c r="AB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  <x:c r="AA69" s="27"/>
      <x:c r="AB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  <x:c r="AA70" s="27"/>
      <x:c r="AB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  <x:c r="AA71" s="27"/>
      <x:c r="AB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  <x:c r="AA72" s="27"/>
      <x:c r="AB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  <x:c r="AA73" s="27"/>
      <x:c r="AB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  <x:c r="AA74" s="27"/>
      <x:c r="AB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  <x:c r="AA75" s="27"/>
      <x:c r="AB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  <x:c r="AA76" s="27"/>
      <x:c r="AB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  <x:c r="AA77" s="27"/>
      <x:c r="AB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  <x:c r="AA78" s="27"/>
      <x:c r="AB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  <x:c r="AA79" s="27"/>
      <x:c r="AB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  <x:c r="AA80" s="27"/>
      <x:c r="AB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  <x:c r="AA81" s="27"/>
      <x:c r="AB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  <x:c r="AA82" s="27"/>
      <x:c r="AB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  <x:c r="AA83" s="27"/>
      <x:c r="AB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  <x:c r="AA84" s="27"/>
      <x:c r="AB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  <x:c r="AA85" s="27"/>
      <x:c r="AB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  <x:c r="AA86" s="27"/>
      <x:c r="AB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  <x:c r="AA87" s="27"/>
      <x:c r="AB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  <x:c r="AA88" s="27"/>
      <x:c r="AB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  <x:c r="AA89" s="27"/>
      <x:c r="AB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  <x:c r="AA90" s="27"/>
      <x:c r="AB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  <x:c r="AA91" s="27"/>
      <x:c r="AB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  <x:c r="AA92" s="27"/>
      <x:c r="AB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  <x:c r="AA93" s="27"/>
      <x:c r="AB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  <x:c r="AA94" s="27"/>
      <x:c r="AB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  <x:c r="AA95" s="27"/>
      <x:c r="AB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  <x:c r="AA96" s="27"/>
      <x:c r="AB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  <x:c r="AA97" s="27"/>
      <x:c r="AB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  <x:c r="AA98" s="27"/>
      <x:c r="AB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  <x:c r="AA99" s="27"/>
      <x:c r="AB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  <x:c r="AA100" s="27"/>
      <x:c r="AB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  <x:c r="AA101" s="27"/>
      <x:c r="AB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  <x:c r="AA102" s="27"/>
      <x:c r="AB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  <x:c r="AA103" s="27"/>
      <x:c r="AB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  <x:c r="AA104" s="27"/>
      <x:c r="AB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  <x:c r="AA105" s="27"/>
      <x:c r="AB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  <x:c r="AA106" s="27"/>
      <x:c r="AB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  <x:c r="AA107" s="27"/>
      <x:c r="AB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  <x:c r="AA108" s="27"/>
      <x:c r="AB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  <x:c r="AA109" s="27"/>
      <x:c r="AB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  <x:c r="AA110" s="27"/>
      <x:c r="AB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  <x:c r="AA111" s="27"/>
      <x:c r="AB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  <x:c r="AA112" s="27"/>
      <x:c r="AB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  <x:c r="AA113" s="27"/>
      <x:c r="AB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  <x:c r="AA114" s="27"/>
      <x:c r="AB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  <x:c r="AA115" s="27"/>
      <x:c r="AB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  <x:c r="AA116" s="27"/>
      <x:c r="AB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  <x:c r="AA117" s="27"/>
      <x:c r="AB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  <x:c r="AA118" s="27"/>
      <x:c r="AB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  <x:c r="AA119" s="27"/>
      <x:c r="AB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  <x:c r="AA120" s="27"/>
      <x:c r="AB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  <x:c r="AA121" s="27"/>
      <x:c r="AB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  <x:c r="AA122" s="27"/>
      <x:c r="AB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  <x:c r="AA123" s="27"/>
      <x:c r="AB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  <x:c r="AA124" s="27"/>
      <x:c r="AB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  <x:c r="AA125" s="27"/>
      <x:c r="AB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  <x:c r="AA126" s="27"/>
      <x:c r="AB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  <x:c r="AA127" s="27"/>
      <x:c r="AB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  <x:c r="AA128" s="27"/>
      <x:c r="AB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  <x:c r="AA129" s="27"/>
      <x:c r="AB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  <x:c r="AA130" s="27"/>
      <x:c r="AB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  <x:c r="AA131" s="27"/>
      <x:c r="AB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  <x:c r="AA132" s="27"/>
      <x:c r="AB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  <x:c r="AA133" s="27"/>
      <x:c r="AB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  <x:c r="AA134" s="27"/>
      <x:c r="AB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  <x:c r="AA135" s="27"/>
      <x:c r="AB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  <x:c r="AA136" s="27"/>
      <x:c r="AB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  <x:c r="AA137" s="27"/>
      <x:c r="AB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  <x:c r="AA138" s="27"/>
      <x:c r="AB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  <x:c r="AA139" s="27"/>
      <x:c r="AB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  <x:c r="AA140" s="27"/>
      <x:c r="AB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  <x:c r="AA141" s="27"/>
      <x:c r="AB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  <x:c r="AA142" s="27"/>
      <x:c r="AB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  <x:c r="AA143" s="27"/>
      <x:c r="AB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  <x:c r="AA144" s="27"/>
      <x:c r="AB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  <x:c r="AA145" s="27"/>
      <x:c r="AB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  <x:c r="AA146" s="27"/>
      <x:c r="AB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  <x:c r="AA147" s="27"/>
      <x:c r="AB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  <x:c r="AA148" s="27"/>
      <x:c r="AB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  <x:c r="AA149" s="27"/>
      <x:c r="AB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  <x:c r="AA150" s="27"/>
      <x:c r="AB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  <x:c r="AA151" s="27"/>
      <x:c r="AB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  <x:c r="AA152" s="27"/>
      <x:c r="AB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  <x:c r="AA153" s="27"/>
      <x:c r="AB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  <x:c r="AA154" s="27"/>
      <x:c r="AB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  <x:c r="AA155" s="27"/>
      <x:c r="AB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  <x:c r="AA156" s="27"/>
      <x:c r="AB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  <x:c r="AA157" s="27"/>
      <x:c r="AB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  <x:c r="AA158" s="27"/>
      <x:c r="AB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  <x:c r="AA159" s="27"/>
      <x:c r="AB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  <x:c r="AA160" s="27"/>
      <x:c r="AB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  <x:c r="AA161" s="27"/>
      <x:c r="AB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  <x:c r="AA162" s="27"/>
      <x:c r="AB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  <x:c r="AA163" s="27"/>
      <x:c r="AB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  <x:c r="AA164" s="27"/>
      <x:c r="AB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  <x:c r="AA165" s="27"/>
      <x:c r="AB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  <x:c r="AA166" s="27"/>
      <x:c r="AB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  <x:c r="AA167" s="27"/>
      <x:c r="AB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  <x:c r="AA168" s="27"/>
      <x:c r="AB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  <x:c r="AA169" s="27"/>
      <x:c r="AB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  <x:c r="AA170" s="27"/>
      <x:c r="AB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  <x:c r="AA171" s="27"/>
      <x:c r="AB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  <x:c r="AA172" s="27"/>
      <x:c r="AB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  <x:c r="AA173" s="27"/>
      <x:c r="AB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  <x:c r="AA174" s="27"/>
      <x:c r="AB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  <x:c r="AA175" s="27"/>
      <x:c r="AB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  <x:c r="AA176" s="27"/>
      <x:c r="AB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  <x:c r="AA177" s="27"/>
      <x:c r="AB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  <x:c r="AA178" s="27"/>
      <x:c r="AB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  <x:c r="AA179" s="27"/>
      <x:c r="AB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  <x:c r="AA180" s="27"/>
      <x:c r="AB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  <x:c r="AA181" s="27"/>
      <x:c r="AB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  <x:c r="AA182" s="27"/>
      <x:c r="AB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  <x:c r="AA183" s="27"/>
      <x:c r="AB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  <x:c r="AA184" s="27"/>
      <x:c r="AB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  <x:c r="AA185" s="27"/>
      <x:c r="AB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  <x:c r="AA186" s="27"/>
      <x:c r="AB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  <x:c r="AA187" s="27"/>
      <x:c r="AB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  <x:c r="AA188" s="27"/>
      <x:c r="AB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  <x:c r="AA189" s="27"/>
      <x:c r="AB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  <x:c r="AA190" s="27"/>
      <x:c r="AB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  <x:c r="AA191" s="27"/>
      <x:c r="AB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  <x:c r="AA192" s="27"/>
      <x:c r="AB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  <x:c r="AA193" s="27"/>
      <x:c r="AB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  <x:c r="AA194" s="27"/>
      <x:c r="AB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  <x:c r="AA195" s="27"/>
      <x:c r="AB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  <x:c r="AA196" s="27"/>
      <x:c r="AB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  <x:c r="AA197" s="27"/>
      <x:c r="AB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  <x:c r="AA198" s="27"/>
      <x:c r="AB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  <x:c r="AA199" s="27"/>
      <x:c r="AB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  <x:c r="AA200" s="27"/>
      <x:c r="AB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  <x:c r="AA201" s="27"/>
      <x:c r="AB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  <x:c r="AA202" s="27"/>
      <x:c r="AB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  <x:c r="AA203" s="27"/>
      <x:c r="AB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  <x:c r="AA204" s="27"/>
      <x:c r="AB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  <x:c r="AA205" s="27"/>
      <x:c r="AB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  <x:c r="Z206" s="27"/>
      <x:c r="AA206" s="27"/>
      <x:c r="AB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  <x:c r="Z207" s="27"/>
      <x:c r="AA207" s="27"/>
      <x:c r="AB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  <x:c r="Z208" s="27"/>
      <x:c r="AA208" s="27"/>
      <x:c r="AB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  <x:c r="Z209" s="27"/>
      <x:c r="AA209" s="27"/>
      <x:c r="AB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  <x:c r="Z210" s="27"/>
      <x:c r="AA210" s="27"/>
      <x:c r="AB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  <x:c r="Z211" s="27"/>
      <x:c r="AA211" s="27"/>
      <x:c r="AB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  <x:c r="Z212" s="27"/>
      <x:c r="AA212" s="27"/>
      <x:c r="AB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  <x:c r="Z213" s="27"/>
      <x:c r="AA213" s="27"/>
      <x:c r="AB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  <x:c r="Z214" s="27"/>
      <x:c r="AA214" s="27"/>
      <x:c r="AB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  <x:c r="Z215" s="27"/>
      <x:c r="AA215" s="27"/>
      <x:c r="AB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  <x:c r="Z216" s="27"/>
      <x:c r="AA216" s="27"/>
      <x:c r="AB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  <x:c r="Z217" s="27"/>
      <x:c r="AA217" s="27"/>
      <x:c r="AB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  <x:c r="Z218" s="27"/>
      <x:c r="AA218" s="27"/>
      <x:c r="AB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  <x:c r="Z219" s="27"/>
      <x:c r="AA219" s="27"/>
      <x:c r="AB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  <x:c r="Z220" s="27"/>
      <x:c r="AA220" s="27"/>
      <x:c r="AB220" s="27"/>
    </x:row>
  </x:sheetData>
  <x:conditionalFormatting sqref="E5:E22">
    <x:cfRule type="containsText" dxfId="15" priority="1" operator="containsText" text="High"/>
    <x:cfRule type="containsText" dxfId="16" priority="2" operator="containsText" text="Medium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80" hidden="0" customWidth="1"/>
    <x:col min="3" max="3" width="24" hidden="0" customWidth="1"/>
    <x:col min="4" max="4" width="18" hidden="0" customWidth="1"/>
  </x:cols>
  <x:sheetData>
    <x:row r="1" ht="28" customHeight="1">
      <x:c r="A1" s="26" t="str">
        <x:v>Sources and Build Notes</x:v>
      </x:c>
      <x:c r="B1" s="26"/>
      <x:c r="C1" s="26"/>
      <x:c r="D1" s="26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  <x:c r="AA1" s="27"/>
      <x:c r="AB1" s="27"/>
    </x:row>
    <x:row r="2" ht="46" customHeight="1">
      <x:c r="A2" s="28" t="str">
        <x:v>Local repo and database sources used to create this workbook.</x:v>
      </x:c>
      <x:c r="B2" s="28"/>
      <x:c r="C2" s="28"/>
      <x:c r="D2" s="28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</x:row>
    <x:row r="4">
      <x:c r="A4" s="31" t="str">
        <x:v>Item</x:v>
      </x:c>
      <x:c r="B4" s="31" t="str">
        <x:v>Source</x:v>
      </x:c>
      <x:c r="C4" s="31" t="str">
        <x:v>Source Type</x:v>
      </x:c>
      <x:c r="D4" s="31" t="str">
        <x:v>Date</x:v>
      </x:c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  <x:c r="AA4" s="27"/>
      <x:c r="AB4" s="27"/>
    </x:row>
    <x:row r="5">
      <x:c r="A5" s="30" t="str">
        <x:v>Finance seeded chart, segments, payment terms, taxes, fixed assets</x:v>
      </x:c>
      <x:c r="B5" s="30" t="str">
        <x:v>src/ErpSystem.Data/Seeders/FinanceDataSeeder.cs</x:v>
      </x:c>
      <x:c r="C5" s="30" t="str">
        <x:v>Code seed source</x:v>
      </x:c>
      <x:c r="D5" s="30" t="str">
        <x:v>Read 2026-07-16</x:v>
      </x:c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  <x:c r="AB5" s="27"/>
    </x:row>
    <x:row r="6">
      <x:c r="A6" s="30" t="str">
        <x:v>Accounts Payable entities and posting assumptions</x:v>
      </x:c>
      <x:c r="B6" s="30" t="str">
        <x:v>src/ErpSystem.Core/Entities/Finance/AccountsPayable.cs</x:v>
      </x:c>
      <x:c r="C6" s="30" t="str">
        <x:v>Code entity source</x:v>
      </x:c>
      <x:c r="D6" s="30" t="str">
        <x:v>Read 2026-07-16</x:v>
      </x:c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  <x:c r="AA6" s="27"/>
      <x:c r="AB6" s="27"/>
    </x:row>
    <x:row r="7">
      <x:c r="A7" s="30" t="str">
        <x:v>Accounts Receivable invoice/payment entities</x:v>
      </x:c>
      <x:c r="B7" s="30" t="str">
        <x:v>src/ErpSystem.Core/Entities/Finance/Invoice.cs; CustomerPayment.cs</x:v>
      </x:c>
      <x:c r="C7" s="30" t="str">
        <x:v>Code entity source</x:v>
      </x:c>
      <x:c r="D7" s="30" t="str">
        <x:v>Read 2026-07-16</x:v>
      </x:c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  <x:c r="AA7" s="27"/>
      <x:c r="AB7" s="27"/>
    </x:row>
    <x:row r="8">
      <x:c r="A8" s="30" t="str">
        <x:v>General financial report endpoints</x:v>
      </x:c>
      <x:c r="B8" s="30" t="str">
        <x:v>src/ErpSystem.Api/Controllers/Finance/FinanceController.cs</x:v>
      </x:c>
      <x:c r="C8" s="30" t="str">
        <x:v>Code API source</x:v>
      </x:c>
      <x:c r="D8" s="30" t="str">
        <x:v>Read 2026-07-16</x:v>
      </x:c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  <x:c r="AA8" s="27"/>
      <x:c r="AB8" s="27"/>
    </x:row>
    <x:row r="9">
      <x:c r="A9" s="30" t="str">
        <x:v>Finance workflow and approval controller</x:v>
      </x:c>
      <x:c r="B9" s="30" t="str">
        <x:v>src/ErpSystem.Api/Controllers/Finance/FinanceApprovalsController.cs</x:v>
      </x:c>
      <x:c r="C9" s="30" t="str">
        <x:v>Code API source</x:v>
      </x:c>
      <x:c r="D9" s="30" t="str">
        <x:v>Read 2026-07-16</x:v>
      </x:c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  <x:c r="AA9" s="27"/>
      <x:c r="AB9" s="27"/>
    </x:row>
    <x:row r="10">
      <x:c r="A10" s="30" t="str">
        <x:v>Fixed asset entities</x:v>
      </x:c>
      <x:c r="B10" s="30" t="str">
        <x:v>src/ErpSystem.Core/Entities/Finance/FixedAssets/*.cs</x:v>
      </x:c>
      <x:c r="C10" s="30" t="str">
        <x:v>Code entity source</x:v>
      </x:c>
      <x:c r="D10" s="30" t="str">
        <x:v>Read 2026-07-16</x:v>
      </x:c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  <x:c r="AA10" s="27"/>
      <x:c r="AB10" s="27"/>
    </x:row>
    <x:row r="11">
      <x:c r="A11" s="30" t="str">
        <x:v>Unit accounting workflow</x:v>
      </x:c>
      <x:c r="B11" s="30" t="str">
        <x:v>docs/unit_accounts_user_guide.md</x:v>
      </x:c>
      <x:c r="C11" s="30" t="str">
        <x:v>Repo documentation</x:v>
      </x:c>
      <x:c r="D11" s="30" t="str">
        <x:v>Read 2026-07-16</x:v>
      </x:c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  <x:c r="AA11" s="27"/>
      <x:c r="AB11" s="27"/>
    </x:row>
    <x:row r="12">
      <x:c r="A12" s="30" t="str">
        <x:v>Business partner names/codes</x:v>
      </x:c>
      <x:c r="B12" s="30" t="str">
        <x:v>Local SQL Server RHEMAERP BusinessPartners query</x:v>
      </x:c>
      <x:c r="C12" s="30" t="str">
        <x:v>Local database lookup</x:v>
      </x:c>
      <x:c r="D12" s="30" t="str">
        <x:v>Queried 2026-07-16</x:v>
      </x:c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  <x:c r="AA12" s="27"/>
      <x:c r="AB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  <x:c r="AA13" s="27"/>
      <x:c r="AB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  <x:c r="AA14" s="27"/>
      <x:c r="AB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  <x:c r="AA15" s="27"/>
      <x:c r="AB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  <x:c r="AA16" s="27"/>
      <x:c r="AB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  <x:c r="AA17" s="27"/>
      <x:c r="AB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  <x:c r="AA18" s="27"/>
      <x:c r="AB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  <x:c r="AA19" s="27"/>
      <x:c r="AB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  <x:c r="AA20" s="27"/>
      <x:c r="AB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  <x:c r="AA21" s="27"/>
      <x:c r="AB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  <x:c r="AA22" s="27"/>
      <x:c r="AB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  <x:c r="AA23" s="27"/>
      <x:c r="AB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  <x:c r="AA24" s="27"/>
      <x:c r="AB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  <x:c r="AA25" s="27"/>
      <x:c r="AB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  <x:c r="AA26" s="27"/>
      <x:c r="AB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  <x:c r="AA27" s="27"/>
      <x:c r="AB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  <x:c r="AA28" s="27"/>
      <x:c r="AB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  <x:c r="AA29" s="27"/>
      <x:c r="AB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  <x:c r="AA30" s="27"/>
      <x:c r="AB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  <x:c r="AA31" s="27"/>
      <x:c r="AB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  <x:c r="AA32" s="27"/>
      <x:c r="AB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  <x:c r="AA33" s="27"/>
      <x:c r="AB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  <x:c r="AA34" s="27"/>
      <x:c r="AB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  <x:c r="AA35" s="27"/>
      <x:c r="AB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  <x:c r="AA36" s="27"/>
      <x:c r="AB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  <x:c r="AA37" s="27"/>
      <x:c r="AB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  <x:c r="AA38" s="27"/>
      <x:c r="AB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  <x:c r="AA39" s="27"/>
      <x:c r="AB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  <x:c r="AA40" s="27"/>
      <x:c r="AB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  <x:c r="AA41" s="27"/>
      <x:c r="AB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  <x:c r="AA42" s="27"/>
      <x:c r="AB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  <x:c r="AA43" s="27"/>
      <x:c r="AB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  <x:c r="AA44" s="27"/>
      <x:c r="AB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  <x:c r="AA45" s="27"/>
      <x:c r="AB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  <x:c r="AA46" s="27"/>
      <x:c r="AB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  <x:c r="AA47" s="27"/>
      <x:c r="AB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  <x:c r="AA48" s="27"/>
      <x:c r="AB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  <x:c r="AA49" s="27"/>
      <x:c r="AB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  <x:c r="AA50" s="27"/>
      <x:c r="AB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  <x:c r="AA51" s="27"/>
      <x:c r="AB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  <x:c r="AA52" s="27"/>
      <x:c r="AB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  <x:c r="AA53" s="27"/>
      <x:c r="AB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  <x:c r="AA54" s="27"/>
      <x:c r="AB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  <x:c r="AA55" s="27"/>
      <x:c r="AB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  <x:c r="AA56" s="27"/>
      <x:c r="AB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  <x:c r="AA57" s="27"/>
      <x:c r="AB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  <x:c r="AA58" s="27"/>
      <x:c r="AB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  <x:c r="AA59" s="27"/>
      <x:c r="AB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  <x:c r="AA60" s="27"/>
      <x:c r="AB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  <x:c r="AA61" s="27"/>
      <x:c r="AB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  <x:c r="AA62" s="27"/>
      <x:c r="AB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  <x:c r="AA63" s="27"/>
      <x:c r="AB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  <x:c r="AA64" s="27"/>
      <x:c r="AB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  <x:c r="AA65" s="27"/>
      <x:c r="AB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  <x:c r="AA66" s="27"/>
      <x:c r="AB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  <x:c r="AA67" s="27"/>
      <x:c r="AB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  <x:c r="AA68" s="27"/>
      <x:c r="AB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  <x:c r="AA69" s="27"/>
      <x:c r="AB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  <x:c r="AA70" s="27"/>
      <x:c r="AB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  <x:c r="AA71" s="27"/>
      <x:c r="AB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  <x:c r="AA72" s="27"/>
      <x:c r="AB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  <x:c r="AA73" s="27"/>
      <x:c r="AB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  <x:c r="AA74" s="27"/>
      <x:c r="AB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  <x:c r="AA75" s="27"/>
      <x:c r="AB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  <x:c r="AA76" s="27"/>
      <x:c r="AB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  <x:c r="AA77" s="27"/>
      <x:c r="AB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  <x:c r="AA78" s="27"/>
      <x:c r="AB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  <x:c r="AA79" s="27"/>
      <x:c r="AB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  <x:c r="AA80" s="27"/>
      <x:c r="AB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  <x:c r="AA81" s="27"/>
      <x:c r="AB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  <x:c r="AA82" s="27"/>
      <x:c r="AB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  <x:c r="AA83" s="27"/>
      <x:c r="AB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  <x:c r="AA84" s="27"/>
      <x:c r="AB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  <x:c r="AA85" s="27"/>
      <x:c r="AB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  <x:c r="AA86" s="27"/>
      <x:c r="AB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  <x:c r="AA87" s="27"/>
      <x:c r="AB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  <x:c r="AA88" s="27"/>
      <x:c r="AB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  <x:c r="AA89" s="27"/>
      <x:c r="AB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  <x:c r="AA90" s="27"/>
      <x:c r="AB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  <x:c r="AA91" s="27"/>
      <x:c r="AB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  <x:c r="AA92" s="27"/>
      <x:c r="AB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  <x:c r="AA93" s="27"/>
      <x:c r="AB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  <x:c r="AA94" s="27"/>
      <x:c r="AB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  <x:c r="AA95" s="27"/>
      <x:c r="AB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  <x:c r="AA96" s="27"/>
      <x:c r="AB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  <x:c r="AA97" s="27"/>
      <x:c r="AB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  <x:c r="AA98" s="27"/>
      <x:c r="AB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  <x:c r="AA99" s="27"/>
      <x:c r="AB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  <x:c r="AA100" s="27"/>
      <x:c r="AB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  <x:c r="AA101" s="27"/>
      <x:c r="AB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  <x:c r="AA102" s="27"/>
      <x:c r="AB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  <x:c r="AA103" s="27"/>
      <x:c r="AB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  <x:c r="AA104" s="27"/>
      <x:c r="AB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  <x:c r="AA105" s="27"/>
      <x:c r="AB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  <x:c r="AA106" s="27"/>
      <x:c r="AB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  <x:c r="AA107" s="27"/>
      <x:c r="AB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  <x:c r="AA108" s="27"/>
      <x:c r="AB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  <x:c r="AA109" s="27"/>
      <x:c r="AB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  <x:c r="AA110" s="27"/>
      <x:c r="AB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  <x:c r="AA111" s="27"/>
      <x:c r="AB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  <x:c r="AA112" s="27"/>
      <x:c r="AB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  <x:c r="AA113" s="27"/>
      <x:c r="AB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  <x:c r="AA114" s="27"/>
      <x:c r="AB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  <x:c r="AA115" s="27"/>
      <x:c r="AB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  <x:c r="AA116" s="27"/>
      <x:c r="AB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  <x:c r="AA117" s="27"/>
      <x:c r="AB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  <x:c r="AA118" s="27"/>
      <x:c r="AB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  <x:c r="AA119" s="27"/>
      <x:c r="AB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  <x:c r="AA120" s="27"/>
      <x:c r="AB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  <x:c r="AA121" s="27"/>
      <x:c r="AB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  <x:c r="AA122" s="27"/>
      <x:c r="AB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  <x:c r="AA123" s="27"/>
      <x:c r="AB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  <x:c r="AA124" s="27"/>
      <x:c r="AB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  <x:c r="AA125" s="27"/>
      <x:c r="AB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  <x:c r="AA126" s="27"/>
      <x:c r="AB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  <x:c r="AA127" s="27"/>
      <x:c r="AB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  <x:c r="AA128" s="27"/>
      <x:c r="AB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  <x:c r="AA129" s="27"/>
      <x:c r="AB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  <x:c r="AA130" s="27"/>
      <x:c r="AB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  <x:c r="AA131" s="27"/>
      <x:c r="AB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  <x:c r="AA132" s="27"/>
      <x:c r="AB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  <x:c r="AA133" s="27"/>
      <x:c r="AB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  <x:c r="AA134" s="27"/>
      <x:c r="AB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  <x:c r="AA135" s="27"/>
      <x:c r="AB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  <x:c r="AA136" s="27"/>
      <x:c r="AB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  <x:c r="AA137" s="27"/>
      <x:c r="AB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  <x:c r="AA138" s="27"/>
      <x:c r="AB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  <x:c r="AA139" s="27"/>
      <x:c r="AB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  <x:c r="AA140" s="27"/>
      <x:c r="AB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  <x:c r="AA141" s="27"/>
      <x:c r="AB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  <x:c r="AA142" s="27"/>
      <x:c r="AB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  <x:c r="AA143" s="27"/>
      <x:c r="AB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  <x:c r="AA144" s="27"/>
      <x:c r="AB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  <x:c r="AA145" s="27"/>
      <x:c r="AB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  <x:c r="AA146" s="27"/>
      <x:c r="AB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  <x:c r="AA147" s="27"/>
      <x:c r="AB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  <x:c r="AA148" s="27"/>
      <x:c r="AB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  <x:c r="AA149" s="27"/>
      <x:c r="AB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  <x:c r="AA150" s="27"/>
      <x:c r="AB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  <x:c r="AA151" s="27"/>
      <x:c r="AB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  <x:c r="AA152" s="27"/>
      <x:c r="AB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  <x:c r="AA153" s="27"/>
      <x:c r="AB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  <x:c r="AA154" s="27"/>
      <x:c r="AB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  <x:c r="AA155" s="27"/>
      <x:c r="AB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  <x:c r="AA156" s="27"/>
      <x:c r="AB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  <x:c r="AA157" s="27"/>
      <x:c r="AB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  <x:c r="AA158" s="27"/>
      <x:c r="AB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  <x:c r="AA159" s="27"/>
      <x:c r="AB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  <x:c r="AA160" s="27"/>
      <x:c r="AB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  <x:c r="AA161" s="27"/>
      <x:c r="AB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  <x:c r="AA162" s="27"/>
      <x:c r="AB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  <x:c r="AA163" s="27"/>
      <x:c r="AB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  <x:c r="AA164" s="27"/>
      <x:c r="AB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  <x:c r="AA165" s="27"/>
      <x:c r="AB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  <x:c r="AA166" s="27"/>
      <x:c r="AB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  <x:c r="AA167" s="27"/>
      <x:c r="AB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  <x:c r="AA168" s="27"/>
      <x:c r="AB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  <x:c r="AA169" s="27"/>
      <x:c r="AB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  <x:c r="AA170" s="27"/>
      <x:c r="AB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  <x:c r="AA171" s="27"/>
      <x:c r="AB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  <x:c r="AA172" s="27"/>
      <x:c r="AB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  <x:c r="AA173" s="27"/>
      <x:c r="AB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  <x:c r="AA174" s="27"/>
      <x:c r="AB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  <x:c r="AA175" s="27"/>
      <x:c r="AB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  <x:c r="AA176" s="27"/>
      <x:c r="AB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  <x:c r="AA177" s="27"/>
      <x:c r="AB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  <x:c r="AA178" s="27"/>
      <x:c r="AB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  <x:c r="AA179" s="27"/>
      <x:c r="AB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  <x:c r="AA180" s="27"/>
      <x:c r="AB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  <x:c r="AA181" s="27"/>
      <x:c r="AB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  <x:c r="AA182" s="27"/>
      <x:c r="AB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  <x:c r="AA183" s="27"/>
      <x:c r="AB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  <x:c r="AA184" s="27"/>
      <x:c r="AB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  <x:c r="AA185" s="27"/>
      <x:c r="AB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  <x:c r="AA186" s="27"/>
      <x:c r="AB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  <x:c r="AA187" s="27"/>
      <x:c r="AB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  <x:c r="AA188" s="27"/>
      <x:c r="AB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  <x:c r="AA189" s="27"/>
      <x:c r="AB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  <x:c r="AA190" s="27"/>
      <x:c r="AB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  <x:c r="AA191" s="27"/>
      <x:c r="AB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  <x:c r="AA192" s="27"/>
      <x:c r="AB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  <x:c r="AA193" s="27"/>
      <x:c r="AB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  <x:c r="AA194" s="27"/>
      <x:c r="AB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  <x:c r="AA195" s="27"/>
      <x:c r="AB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  <x:c r="AA196" s="27"/>
      <x:c r="AB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  <x:c r="AA197" s="27"/>
      <x:c r="AB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  <x:c r="AA198" s="27"/>
      <x:c r="AB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  <x:c r="AA199" s="27"/>
      <x:c r="AB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  <x:c r="AA200" s="27"/>
      <x:c r="AB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  <x:c r="AA201" s="27"/>
      <x:c r="AB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  <x:c r="AA202" s="27"/>
      <x:c r="AB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  <x:c r="AA203" s="27"/>
      <x:c r="AB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  <x:c r="AA204" s="27"/>
      <x:c r="AB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  <x:c r="AA205" s="27"/>
      <x:c r="AB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  <x:c r="Z206" s="27"/>
      <x:c r="AA206" s="27"/>
      <x:c r="AB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  <x:c r="Z207" s="27"/>
      <x:c r="AA207" s="27"/>
      <x:c r="AB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  <x:c r="Z208" s="27"/>
      <x:c r="AA208" s="27"/>
      <x:c r="AB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  <x:c r="Z209" s="27"/>
      <x:c r="AA209" s="27"/>
      <x:c r="AB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  <x:c r="Z210" s="27"/>
      <x:c r="AA210" s="27"/>
      <x:c r="AB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  <x:c r="Z211" s="27"/>
      <x:c r="AA211" s="27"/>
      <x:c r="AB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  <x:c r="Z212" s="27"/>
      <x:c r="AA212" s="27"/>
      <x:c r="AB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  <x:c r="Z213" s="27"/>
      <x:c r="AA213" s="27"/>
      <x:c r="AB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  <x:c r="Z214" s="27"/>
      <x:c r="AA214" s="27"/>
      <x:c r="AB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  <x:c r="Z215" s="27"/>
      <x:c r="AA215" s="27"/>
      <x:c r="AB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  <x:c r="Z216" s="27"/>
      <x:c r="AA216" s="27"/>
      <x:c r="AB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  <x:c r="Z217" s="27"/>
      <x:c r="AA217" s="27"/>
      <x:c r="AB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  <x:c r="Z218" s="27"/>
      <x:c r="AA218" s="27"/>
      <x:c r="AB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  <x:c r="Z219" s="27"/>
      <x:c r="AA219" s="27"/>
      <x:c r="AB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  <x:c r="Z220" s="27"/>
      <x:c r="AA220" s="27"/>
      <x:c r="AB220" s="27"/>
    </x:row>
  </x:sheetData>
  <x:pageMargins left="0.7" right="0.7" top="0.75" bottom="0.75" header="0.3" footer="0.3"/>
</x:worksheet>
</file>