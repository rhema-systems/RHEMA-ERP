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1a3942711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666410ed7a84f80"/>
    <x:sheet xmlns:r="http://schemas.openxmlformats.org/officeDocument/2006/relationships" name="Control Summary" sheetId="2" r:id="R164d0186763f49a3"/>
    <x:sheet xmlns:r="http://schemas.openxmlformats.org/officeDocument/2006/relationships" name="GL Opening Journal" sheetId="3" r:id="Ra2c606dbc0fc4813"/>
    <x:sheet xmlns:r="http://schemas.openxmlformats.org/officeDocument/2006/relationships" name="AR Opening Invoices" sheetId="4" r:id="R003b114bae8d4c0b"/>
    <x:sheet xmlns:r="http://schemas.openxmlformats.org/officeDocument/2006/relationships" name="AP Opening Invoices" sheetId="5" r:id="R1482d1aa3b0e4ba0"/>
    <x:sheet xmlns:r="http://schemas.openxmlformats.org/officeDocument/2006/relationships" name="Fixed Assets" sheetId="6" r:id="Rddba71a9bd61448e"/>
    <x:sheet xmlns:r="http://schemas.openxmlformats.org/officeDocument/2006/relationships" name="Reference Accounts" sheetId="7" r:id="Rcb57deca02674a36"/>
    <x:sheet xmlns:r="http://schemas.openxmlformats.org/officeDocument/2006/relationships" name="FA Categories" sheetId="8" r:id="R994fc5d1c7b8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00"/>
    <x:numFmt numFmtId="203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065F4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2E46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FFFBEB"/>
      </x:patternFill>
    </x:fill>
    <x:fill>
      <x:patternFill patternType="solid">
        <x:fgColor rgb="FF334155"/>
      </x:patternFill>
    </x:fill>
    <x:fill>
      <x:patternFill patternType="solid">
        <x:fgColor rgb="FFECFDF5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7E3EA"/>
      </x:left>
      <x:right style="thin">
        <x:color rgb="FFD7E3EA"/>
      </x:right>
      <x:top style="thin">
        <x:color rgb="FFD7E3EA"/>
      </x:top>
      <x:bottom style="thin">
        <x:color rgb="FFD7E3EA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7" borderId="3" xfId="0" applyNumberFormat="1" applyFont="1" applyFill="1" applyBorder="1" applyAlignment="1">
      <x:alignment vertical="top" wrapText="1"/>
    </x:xf>
    <x:xf numFmtId="201" fontId="5" fillId="7" borderId="3" xfId="0" applyNumberFormat="1" applyFont="1" applyFill="1" applyBorder="1" applyAlignment="1">
      <x:alignment vertical="top" wrapText="1"/>
    </x:xf>
    <x:xf numFmtId="201" fontId="5" fillId="7" borderId="1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3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7d6d421e04869" /><Relationship Type="http://schemas.openxmlformats.org/officeDocument/2006/relationships/theme" Target="/xl/theme/theme1.xml" Id="Rdaafbd2b3d2d4d98" /><Relationship Type="http://schemas.openxmlformats.org/officeDocument/2006/relationships/sharedStrings" Target="/xl/sharedStrings.xml" Id="Rf4ae436fe8c0412b" /><Relationship Type="http://schemas.openxmlformats.org/officeDocument/2006/relationships/worksheet" Target="/xl/worksheets/sheet1.xml" Id="R7666410ed7a84f80" /><Relationship Type="http://schemas.openxmlformats.org/officeDocument/2006/relationships/worksheet" Target="/xl/worksheets/sheet2.xml" Id="R164d0186763f49a3" /><Relationship Type="http://schemas.openxmlformats.org/officeDocument/2006/relationships/worksheet" Target="/xl/worksheets/sheet3.xml" Id="Ra2c606dbc0fc4813" /><Relationship Type="http://schemas.openxmlformats.org/officeDocument/2006/relationships/worksheet" Target="/xl/worksheets/sheet4.xml" Id="R003b114bae8d4c0b" /><Relationship Type="http://schemas.openxmlformats.org/officeDocument/2006/relationships/worksheet" Target="/xl/worksheets/sheet5.xml" Id="R1482d1aa3b0e4ba0" /><Relationship Type="http://schemas.openxmlformats.org/officeDocument/2006/relationships/worksheet" Target="/xl/worksheets/sheet6.xml" Id="Rddba71a9bd61448e" /><Relationship Type="http://schemas.openxmlformats.org/officeDocument/2006/relationships/worksheet" Target="/xl/worksheets/sheet7.xml" Id="Rcb57deca02674a36" /><Relationship Type="http://schemas.openxmlformats.org/officeDocument/2006/relationships/worksheet" Target="/xl/worksheets/sheet8.xml" Id="R994fc5d1c7b843e9" /></Relationships>
</file>

<file path=xl/tables/table1.xml><?xml version="1.0" encoding="utf-8"?>
<x:table xmlns:x="http://schemas.openxmlformats.org/spreadsheetml/2006/main" id="1" name="GLOpeningJournalTable" displayName="GLOpeningJournalTable" ref="A4:M14" headerRowCount="1">
  <x:tableColumns count="13">
    <x:tableColumn id="1" name="Journal Number"/>
    <x:tableColumn id="2" name="Transaction Date"/>
    <x:tableColumn id="3" name="Journal Type"/>
    <x:tableColumn id="4" name="Book Classification"/>
    <x:tableColumn id="5" name="Description"/>
    <x:tableColumn id="6" name="Account Code"/>
    <x:tableColumn id="7" name="Account Name"/>
    <x:tableColumn id="8" name="Transaction Type"/>
    <x:tableColumn id="9" name="Debit"/>
    <x:tableColumn id="10" name="Credit"/>
    <x:tableColumn id="11" name="Currency"/>
    <x:tableColumn id="12" name="Exchange Rat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ROpeningInvoicesTable" displayName="AROpeningInvoicesTable" ref="A4:R6" headerRowCount="1">
  <x:tableColumns count="18">
    <x:tableColumn id="1" name="Source Ref"/>
    <x:tableColumn id="2" name="Customer Id"/>
    <x:tableColumn id="3" name="Customer Name"/>
    <x:tableColumn id="4" name="Invoice Date"/>
    <x:tableColumn id="5" name="Due Date"/>
    <x:tableColumn id="6" name="Reference"/>
    <x:tableColumn id="7" name="Is Opening Balance"/>
    <x:tableColumn id="8" name="Currency"/>
    <x:tableColumn id="9" name="Exchange Rate"/>
    <x:tableColumn id="10" name="Invoice Notes"/>
    <x:tableColumn id="11" name="Line Item Type"/>
    <x:tableColumn id="12" name="Line Description"/>
    <x:tableColumn id="13" name="Quantity"/>
    <x:tableColumn id="14" name="Unit Price"/>
    <x:tableColumn id="15" name="Discount %"/>
    <x:tableColumn id="16" name="Tax Code"/>
    <x:tableColumn id="17" name="Line Total"/>
    <x:tableColumn id="18" name="Posting Notes"/>
  </x:tableColumns>
  <x:tableStyleInfo name="TableStyleMedium2" showRowStripes="1"/>
</x:table>
</file>

<file path=xl/tables/table3.xml><?xml version="1.0" encoding="utf-8"?>
<x:table xmlns:x="http://schemas.openxmlformats.org/spreadsheetml/2006/main" id="3" name="APOpeningInvoicesTable" displayName="APOpeningInvoicesTable" ref="A4:T6" headerRowCount="1">
  <x:tableColumns count="20">
    <x:tableColumn id="1" name="Source Ref"/>
    <x:tableColumn id="2" name="Supplier Id"/>
    <x:tableColumn id="3" name="Supplier Name"/>
    <x:tableColumn id="4" name="Supplier Invoice No"/>
    <x:tableColumn id="5" name="Invoice Date"/>
    <x:tableColumn id="6" name="Received Date"/>
    <x:tableColumn id="7" name="Due Date"/>
    <x:tableColumn id="8" name="Reference"/>
    <x:tableColumn id="9" name="Is Opening Balance"/>
    <x:tableColumn id="10" name="Currency"/>
    <x:tableColumn id="11" name="Exchange Rate"/>
    <x:tableColumn id="12" name="Invoice Notes"/>
    <x:tableColumn id="13" name="Line Item Type"/>
    <x:tableColumn id="14" name="Line Description"/>
    <x:tableColumn id="15" name="Quantity"/>
    <x:tableColumn id="16" name="Unit Price"/>
    <x:tableColumn id="17" name="Tax Rate %"/>
    <x:tableColumn id="18" name="Tax Code"/>
    <x:tableColumn id="19" name="Line Total"/>
    <x:tableColumn id="20" name="Posting Notes"/>
  </x:tableColumns>
  <x:tableStyleInfo name="TableStyleMedium2" showRowStripes="1"/>
</x:table>
</file>

<file path=xl/tables/table4.xml><?xml version="1.0" encoding="utf-8"?>
<x:table xmlns:x="http://schemas.openxmlformats.org/spreadsheetml/2006/main" id="4" name="FixedAssetsTable" displayName="FixedAssetsTable" ref="A4:N7" headerRowCount="1">
  <x:tableColumns count="14">
    <x:tableColumn id="1" name="Asset Code*"/>
    <x:tableColumn id="2" name="Name*"/>
    <x:tableColumn id="3" name="Description"/>
    <x:tableColumn id="4" name="Location"/>
    <x:tableColumn id="5" name="Category Code*"/>
    <x:tableColumn id="6" name="Purchase Date*"/>
    <x:tableColumn id="7" name="Placed In Service Date"/>
    <x:tableColumn id="8" name="Purchase Price*"/>
    <x:tableColumn id="9" name="Installation Cost"/>
    <x:tableColumn id="10" name="Tax Amount"/>
    <x:tableColumn id="11" name="Useful Life (Months)*"/>
    <x:tableColumn id="12" name="Residual Value"/>
    <x:tableColumn id="13" name="Serial Number"/>
    <x:tableColumn id="14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AccountsTable" displayName="ReferenceAccountsTable" ref="A4:E17" headerRowCount="1">
  <x:tableColumns count="5">
    <x:tableColumn id="1" name="Account Code"/>
    <x:tableColumn id="2" name="Account Name"/>
    <x:tableColumn id="3" name="Type"/>
    <x:tableColumn id="4" name="Category"/>
    <x:tableColumn id="5" name="Use In This Workbook"/>
  </x:tableColumns>
  <x:tableStyleInfo name="TableStyleMedium2" showRowStripes="1"/>
</x:table>
</file>

<file path=xl/tables/table6.xml><?xml version="1.0" encoding="utf-8"?>
<x:table xmlns:x="http://schemas.openxmlformats.org/spreadsheetml/2006/main" id="6" name="FACategoriesTable" displayName="FACategoriesTable" ref="A4:G7" headerRowCount="1">
  <x:tableColumns count="7">
    <x:tableColumn id="1" name="Category Code"/>
    <x:tableColumn id="2" name="Category Name"/>
    <x:tableColumn id="3" name="Asset Account"/>
    <x:tableColumn id="4" name="Accum Dep Account"/>
    <x:tableColumn id="5" name="Dep Exp Account"/>
    <x:tableColumn id="6" name="Useful Life Months"/>
    <x:tableColumn id="7" name="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837a79ab5e3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c807267c74d4e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b770a5f0c1240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90870c1ffcd47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a0d16424b5b48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d2f42f8f33b48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</x:cols>
  <x:sheetData>
    <x:row r="1" ht="30" customHeight="1">
      <x:c r="A1" s="3" t="str">
        <x:v>RHEMA ERP Opening Balance Demo</x:v>
      </x:c>
      <x:c r="B1" s="3" t="str">
        <x:v>RHEMA ERP Opening Balance Demo</x:v>
      </x:c>
      <x:c r="C1" s="3" t="str">
        <x:v>RHEMA ERP Opening Balance Demo</x:v>
      </x:c>
      <x:c r="D1" s="3" t="str">
        <x:v>RHEMA ERP Opening Balance Demo</x:v>
      </x:c>
      <x:c r="E1" s="3" t="str">
        <x:v>RHEMA ERP Opening Balance Demo</x:v>
      </x:c>
      <x:c r="F1" s="3" t="str">
        <x:v>RHEMA ERP Opening Balance Demo</x:v>
      </x:c>
      <x:c r="G1" s="3" t="str">
        <x:v>RHEMA ERP Opening Balance Demo</x:v>
      </x:c>
      <x:c r="H1" s="3" t="str">
        <x:v>RHEMA ERP Opening Balance Demo</x:v>
      </x:c>
      <x:c r="I1" s="3" t="str">
        <x:v>RHEMA ERP Opening Balance Demo</x:v>
      </x:c>
    </x:row>
    <x:row r="2" ht="34" customHeight="1">
      <x:c r="A2" s="6" t="str">
        <x:v>Simple GL, AR, AP, and Fixed Asset opening balances aligned to the implemented finance module.</x:v>
      </x:c>
      <x:c r="B2" s="6" t="str">
        <x:v>Simple GL, AR, AP, and Fixed Asset opening balances aligned to the implemented finance module.</x:v>
      </x:c>
      <x:c r="C2" s="6" t="str">
        <x:v>Simple GL, AR, AP, and Fixed Asset opening balances aligned to the implemented finance module.</x:v>
      </x:c>
      <x:c r="D2" s="6" t="str">
        <x:v>Simple GL, AR, AP, and Fixed Asset opening balances aligned to the implemented finance module.</x:v>
      </x:c>
      <x:c r="E2" s="6" t="str">
        <x:v>Simple GL, AR, AP, and Fixed Asset opening balances aligned to the implemented finance module.</x:v>
      </x:c>
      <x:c r="F2" s="6" t="str">
        <x:v>Simple GL, AR, AP, and Fixed Asset opening balances aligned to the implemented finance module.</x:v>
      </x:c>
      <x:c r="G2" s="6" t="str">
        <x:v>Simple GL, AR, AP, and Fixed Asset opening balances aligned to the implemented finance module.</x:v>
      </x:c>
      <x:c r="H2" s="6" t="str">
        <x:v>Simple GL, AR, AP, and Fixed Asset opening balances aligned to the implemented finance module.</x:v>
      </x:c>
      <x:c r="I2" s="6" t="str">
        <x:v>Simple GL, AR, AP, and Fixed Asset opening balances aligned to the implemented finance module.</x:v>
      </x:c>
      <x:c r="J2" s="6" t="str">
        <x:v>Simple GL, AR, AP, and Fixed Asset opening balances aligned to the implemented finance module.</x:v>
      </x:c>
      <x:c r="K2" s="6" t="str">
        <x:v>Simple GL, AR, AP, and Fixed Asset opening balances aligned to the implemented finance module.</x:v>
      </x:c>
      <x:c r="L2" s="6" t="str">
        <x:v>Simple GL, AR, AP, and Fixed Asset opening balances aligned to the implemented finance module.</x:v>
      </x:c>
      <x:c r="M2" s="6" t="str">
        <x:v>Simple GL, AR, AP, and Fixed Asset opening balances aligned to the implemented finance module.</x:v>
      </x:c>
      <x:c r="N2" s="6" t="str">
        <x:v>Simple GL, AR, AP, and Fixed Asset opening balances aligned to the implemented finance module.</x:v>
      </x:c>
    </x:row>
    <x:row r="4" ht="32" customHeight="1">
      <x:c r="A4" s="8" t="str">
        <x:v>Base currency</x:v>
      </x:c>
      <x:c r="B4" s="10" t="str">
        <x:v>GHS</x:v>
      </x:c>
      <x:c r="D4" s="17" t="str">
        <x:v>Use Order</x:v>
      </x:c>
      <x:c r="E4" s="17" t="str">
        <x:v>Action</x:v>
      </x:c>
      <x:c r="F4" s="17" t="str">
        <x:v>Sheet</x:v>
      </x:c>
      <x:c r="G4" s="17" t="str">
        <x:v>Why</x:v>
      </x:c>
      <x:c r="H4" s="17" t="str">
        <x:v>Expected journal impact</x:v>
      </x:c>
      <x:c r="I4" s="17" t="str">
        <x:v>Status</x:v>
      </x:c>
    </x:row>
    <x:row r="5">
      <x:c r="A5" s="8" t="str">
        <x:v>Posting/opening date</x:v>
      </x:c>
      <x:c r="B5" s="11" t="n">
        <x:v>46174</x:v>
      </x:c>
      <x:c r="D5" s="21" t="n">
        <x:v>1</x:v>
      </x:c>
      <x:c r="E5" s="20" t="str">
        <x:v>Confirm finance settings</x:v>
      </x:c>
      <x:c r="F5" s="20" t="str">
        <x:v>Start Here</x:v>
      </x:c>
      <x:c r="G5" s="20" t="str">
        <x:v>Migration Clearing Account must be configured and auto-routing enabled</x:v>
      </x:c>
      <x:c r="H5" s="20" t="str">
        <x:v>No journal</x:v>
      </x:c>
      <x:c r="I5" s="23" t="str">
        <x:v>Manual check</x:v>
      </x:c>
    </x:row>
    <x:row r="6">
      <x:c r="A6" s="8" t="str">
        <x:v>Seeded open period</x:v>
      </x:c>
      <x:c r="B6" s="10" t="str">
        <x:v>June 2026</x:v>
      </x:c>
      <x:c r="D6" s="21" t="n">
        <x:v>2</x:v>
      </x:c>
      <x:c r="E6" s="20" t="str">
        <x:v>Import asset register</x:v>
      </x:c>
      <x:c r="F6" s="20" t="str">
        <x:v>Fixed Assets</x:v>
      </x:c>
      <x:c r="G6" s="20" t="str">
        <x:v>Creates finance fixed assets with categories FA-BLDG, FA-EQP, FA-VEH</x:v>
      </x:c>
      <x:c r="H6" s="20" t="str">
        <x:v>No GL posting from import</x:v>
      </x:c>
      <x:c r="I6" s="23" t="str">
        <x:v>Optional first</x:v>
      </x:c>
    </x:row>
    <x:row r="7">
      <x:c r="A7" s="8" t="str">
        <x:v>Journal type</x:v>
      </x:c>
      <x:c r="B7" s="10" t="str">
        <x:v>Opening Balance</x:v>
      </x:c>
      <x:c r="D7" s="21" t="n">
        <x:v>3</x:v>
      </x:c>
      <x:c r="E7" s="20" t="str">
        <x:v>Create/post GL opening journal</x:v>
      </x:c>
      <x:c r="F7" s="20" t="str">
        <x:v>GL Opening Journal</x:v>
      </x:c>
      <x:c r="G7" s="20" t="str">
        <x:v>Posts non-subledger balances and accumulated depreciation</x:v>
      </x:c>
      <x:c r="H7" s="20" t="str">
        <x:v>Auto-routes debit to 1990</x:v>
      </x:c>
      <x:c r="I7" s="23" t="str">
        <x:v>Required</x:v>
      </x:c>
    </x:row>
    <x:row r="8">
      <x:c r="A8" s="8" t="str">
        <x:v>Book classification</x:v>
      </x:c>
      <x:c r="B8" s="10" t="str">
        <x:v>ALL_ACTIVE_BOOKS</x:v>
      </x:c>
      <x:c r="D8" s="21" t="n">
        <x:v>4</x:v>
      </x:c>
      <x:c r="E8" s="20" t="str">
        <x:v>Create/send AR opening invoices</x:v>
      </x:c>
      <x:c r="F8" s="20" t="str">
        <x:v>AR Opening Invoices</x:v>
      </x:c>
      <x:c r="G8" s="20" t="str">
        <x:v>Creates customer-level AR balances and aging</x:v>
      </x:c>
      <x:c r="H8" s="20" t="str">
        <x:v>Dr AR / Cr 1990</x:v>
      </x:c>
      <x:c r="I8" s="23" t="str">
        <x:v>Required</x:v>
      </x:c>
    </x:row>
    <x:row r="9">
      <x:c r="A9" s="8" t="str">
        <x:v>Migration clearing account</x:v>
      </x:c>
      <x:c r="B9" s="10" t="str">
        <x:v>1990 - Migration Clearing Account</x:v>
      </x:c>
      <x:c r="D9" s="21" t="n">
        <x:v>5</x:v>
      </x:c>
      <x:c r="E9" s="20" t="str">
        <x:v>Create/post AP opening invoices</x:v>
      </x:c>
      <x:c r="F9" s="20" t="str">
        <x:v>AP Opening Invoices</x:v>
      </x:c>
      <x:c r="G9" s="20" t="str">
        <x:v>Creates supplier-level AP balances and aging</x:v>
      </x:c>
      <x:c r="H9" s="20" t="str">
        <x:v>Dr 1990 / Cr AP</x:v>
      </x:c>
      <x:c r="I9" s="23" t="str">
        <x:v>Required</x:v>
      </x:c>
    </x:row>
    <x:row r="10">
      <x:c r="A10" s="8" t="str">
        <x:v>AR/AP posting method</x:v>
      </x:c>
      <x:c r="B10" s="10" t="str">
        <x:v>Use opening-balance invoice flag</x:v>
      </x:c>
    </x:row>
    <x:row r="11">
      <x:c r="A11" s="8" t="str">
        <x:v>Fixed asset import path</x:v>
      </x:c>
      <x:c r="B11" s="10" t="str">
        <x:v>/finance/fixed-assets/import</x:v>
      </x:c>
    </x:row>
    <x:row r="12">
      <x:c r="A12" s="8" t="str">
        <x:v>Important limitation</x:v>
      </x:c>
      <x:c r="B12" s="10" t="str">
        <x:v>Fixed asset import sets NBV = acquisition cost; use GL tab for accumulated depreciation</x:v>
      </x:c>
    </x:row>
    <x:row r="15">
      <x:c r="A15" s="25" t="str">
        <x:v>Clarifying questions to decide before making this a permanent client template</x:v>
      </x:c>
      <x:c r="B15" s="25" t="str">
        <x:v>Clarifying questions to decide before making this a permanent client template</x:v>
      </x:c>
      <x:c r="C15" s="25" t="str">
        <x:v>Clarifying questions to decide before making this a permanent client template</x:v>
      </x:c>
      <x:c r="D15" s="25" t="str">
        <x:v>Clarifying questions to decide before making this a permanent client template</x:v>
      </x:c>
      <x:c r="E15" s="25" t="str">
        <x:v>Clarifying questions to decide before making this a permanent client template</x:v>
      </x:c>
      <x:c r="F15" s="25" t="str">
        <x:v>Clarifying questions to decide before making this a permanent client template</x:v>
      </x:c>
      <x:c r="G15" s="25" t="str">
        <x:v>Clarifying questions to decide before making this a permanent client template</x:v>
      </x:c>
      <x:c r="H15" s="25" t="str">
        <x:v>Clarifying questions to decide before making this a permanent client template</x:v>
      </x:c>
      <x:c r="I15" s="25" t="str">
        <x:v>Clarifying questions to decide before making this a permanent client template</x:v>
      </x:c>
    </x:row>
    <x:row r="16" ht="48" customHeight="1">
      <x:c r="A16" s="29" t="str">
        <x:v>1</x:v>
      </x:c>
      <x:c r="B16" s="28" t="str">
        <x:v>Which go-live/opening date should be used in your actual demo environment? This sample assumes the seeded open fiscal period, 2026-06-01.</x:v>
      </x:c>
      <x:c r="C16" s="28" t="str"/>
      <x:c r="D16" s="28" t="str"/>
      <x:c r="E16" s="28" t="str"/>
      <x:c r="F16" s="28" t="str"/>
      <x:c r="G16" s="28" t="str"/>
      <x:c r="H16" s="28" t="str"/>
      <x:c r="I16" s="28" t="str"/>
    </x:row>
    <x:row r="17" ht="48" customHeight="1">
      <x:c r="A17" s="29" t="str">
        <x:v>2</x:v>
      </x:c>
      <x:c r="B17" s="28" t="str">
        <x:v>Do you want this converted into an exact import format for AR/AP/GL if you already have bulk import endpoints or scripts for those areas?</x:v>
      </x:c>
      <x:c r="C17" s="28" t="str"/>
      <x:c r="D17" s="28" t="str"/>
      <x:c r="E17" s="28" t="str"/>
      <x:c r="F17" s="28" t="str"/>
      <x:c r="G17" s="28" t="str"/>
      <x:c r="H17" s="28" t="str"/>
      <x:c r="I17" s="28" t="str"/>
    </x:row>
    <x:row r="18" ht="48" customHeight="1">
      <x:c r="A18" s="29" t="str">
        <x:v>3</x:v>
      </x:c>
      <x:c r="B18" s="28" t="str">
        <x:v>Should the fixed asset opening import also support accumulated depreciation/net book value, or should accumulated depreciation stay as GL-only for now?</x:v>
      </x:c>
      <x:c r="C18" s="28" t="str"/>
      <x:c r="D18" s="28" t="str"/>
      <x:c r="E18" s="28" t="str"/>
      <x:c r="F18" s="28" t="str"/>
      <x:c r="G18" s="28" t="str"/>
      <x:c r="H18" s="28" t="str"/>
      <x:c r="I18" s="28" t="str"/>
    </x:row>
    <x:row r="19" ht="48" customHeight="1">
      <x:c r="A19" s="29" t="str">
        <x:v>4</x:v>
      </x:c>
      <x:c r="B19" s="28" t="str">
        <x:v>Do you want customer/supplier seed rows added so the AR/AP tabs can reference stable demo IDs?</x:v>
      </x:c>
      <x:c r="C19" s="28" t="str"/>
      <x:c r="D19" s="28" t="str"/>
      <x:c r="E19" s="28" t="str"/>
      <x:c r="F19" s="28" t="str"/>
      <x:c r="G19" s="28" t="str"/>
      <x:c r="H19" s="28" t="str"/>
      <x:c r="I19" s="28" t="str"/>
    </x:row>
  </x:sheetData>
  <x:mergeCells>
    <x:mergeCell ref="A1:I1"/>
    <x:mergeCell ref="A2:N2"/>
    <x:mergeCell ref="A15:I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44" hidden="0" customWidth="1"/>
  </x:cols>
  <x:sheetData>
    <x:row r="1" ht="30" customHeight="1">
      <x:c r="A1" s="3" t="str">
        <x:v>Opening Balance Control Summary</x:v>
      </x:c>
      <x:c r="B1" s="3" t="str">
        <x:v>Opening Balance Control Summary</x:v>
      </x:c>
      <x:c r="C1" s="3" t="str">
        <x:v>Opening Balance Control Summary</x:v>
      </x:c>
      <x:c r="D1" s="3" t="str">
        <x:v>Opening Balance Control Summary</x:v>
      </x:c>
      <x:c r="E1" s="3" t="str">
        <x:v>Opening Balance Control Summary</x:v>
      </x:c>
      <x:c r="F1" s="3" t="str">
        <x:v>Opening Balance Control Summary</x:v>
      </x:c>
    </x:row>
    <x:row r="2" ht="34" customHeight="1">
      <x:c r="A2" s="6" t="str">
        <x:v>Formula checks showing how the sample uses GL auto-routing plus AR/AP opening subledger postings.</x:v>
      </x:c>
      <x:c r="B2" s="6" t="str">
        <x:v>Formula checks showing how the sample uses GL auto-routing plus AR/AP opening subledger postings.</x:v>
      </x:c>
      <x:c r="C2" s="6" t="str">
        <x:v>Formula checks showing how the sample uses GL auto-routing plus AR/AP opening subledger postings.</x:v>
      </x:c>
      <x:c r="D2" s="6" t="str">
        <x:v>Formula checks showing how the sample uses GL auto-routing plus AR/AP opening subledger postings.</x:v>
      </x:c>
      <x:c r="E2" s="6" t="str">
        <x:v>Formula checks showing how the sample uses GL auto-routing plus AR/AP opening subledger postings.</x:v>
      </x:c>
      <x:c r="F2" s="6" t="str">
        <x:v>Formula checks showing how the sample uses GL auto-routing plus AR/AP opening subledger postings.</x:v>
      </x:c>
      <x:c r="G2" s="6" t="str">
        <x:v>Formula checks showing how the sample uses GL auto-routing plus AR/AP opening subledger postings.</x:v>
      </x:c>
      <x:c r="H2" s="6" t="str">
        <x:v>Formula checks showing how the sample uses GL auto-routing plus AR/AP opening subledger postings.</x:v>
      </x:c>
      <x:c r="I2" s="6" t="str">
        <x:v>Formula checks showing how the sample uses GL auto-routing plus AR/AP opening subledger postings.</x:v>
      </x:c>
      <x:c r="J2" s="6" t="str">
        <x:v>Formula checks showing how the sample uses GL auto-routing plus AR/AP opening subledger postings.</x:v>
      </x:c>
      <x:c r="K2" s="6" t="str">
        <x:v>Formula checks showing how the sample uses GL auto-routing plus AR/AP opening subledger postings.</x:v>
      </x:c>
      <x:c r="L2" s="6" t="str">
        <x:v>Formula checks showing how the sample uses GL auto-routing plus AR/AP opening subledger postings.</x:v>
      </x:c>
      <x:c r="M2" s="6" t="str">
        <x:v>Formula checks showing how the sample uses GL auto-routing plus AR/AP opening subledger postings.</x:v>
      </x:c>
      <x:c r="N2" s="6" t="str">
        <x:v>Formula checks showing how the sample uses GL auto-routing plus AR/AP opening subledger postings.</x:v>
      </x:c>
    </x:row>
    <x:row r="4" ht="32" customHeight="1">
      <x:c r="A4" s="17" t="str">
        <x:v>Area</x:v>
      </x:c>
      <x:c r="B4" s="17" t="str">
        <x:v>Debit</x:v>
      </x:c>
      <x:c r="C4" s="17" t="str">
        <x:v>Credit</x:v>
      </x:c>
      <x:c r="D4" s="17" t="str">
        <x:v>Net Dr/(Cr)</x:v>
      </x:c>
      <x:c r="E4" s="17" t="str">
        <x:v>Migration Impact</x:v>
      </x:c>
      <x:c r="F4" s="17" t="str">
        <x:v>Notes</x:v>
      </x:c>
    </x:row>
    <x:row r="5">
      <x:c r="A5" s="20" t="str">
        <x:v>GL direct lines</x:v>
      </x:c>
      <x:c r="B5" s="30" t="n">
        <x:f>SUM('GL Opening Journal'!I5:I14)</x:f>
        <x:v>211500</x:v>
      </x:c>
      <x:c r="C5" s="30" t="n">
        <x:f>SUM('GL Opening Journal'!J5:J14)</x:f>
        <x:v>225800</x:v>
      </x:c>
      <x:c r="D5" s="30" t="n">
        <x:f>B5-C5</x:f>
        <x:v>-14300</x:v>
      </x:c>
      <x:c r="E5" s="30"/>
      <x:c r="F5" s="20" t="str">
        <x:v>User-entered GL rows only; excludes auto-routed clearing line</x:v>
      </x:c>
    </x:row>
    <x:row r="6">
      <x:c r="A6" s="20" t="str">
        <x:v>GL auto-route to 1990</x:v>
      </x:c>
      <x:c r="B6" s="30" t="n">
        <x:f>IF(D5&lt;0,-D5,0)</x:f>
        <x:v>14300</x:v>
      </x:c>
      <x:c r="C6" s="30" t="n">
        <x:f>IF(D5&gt;0,D5,0)</x:f>
        <x:v>0</x:v>
      </x:c>
      <x:c r="D6" s="30" t="n">
        <x:f>B6-C6</x:f>
        <x:v>14300</x:v>
      </x:c>
      <x:c r="E6" s="30" t="n">
        <x:f>D6</x:f>
        <x:v>14300</x:v>
      </x:c>
      <x:c r="F6" s="20" t="str">
        <x:v>Backend adds this because GL direct credits exceed debits</x:v>
      </x:c>
    </x:row>
    <x:row r="7">
      <x:c r="A7" s="20" t="str">
        <x:v>AR opening invoices</x:v>
      </x:c>
      <x:c r="B7" s="30" t="n">
        <x:f>SUM('AR Opening Invoices'!Q5:Q6)</x:f>
        <x:v>25500</x:v>
      </x:c>
      <x:c r="C7" s="30" t="n">
        <x:f>0</x:f>
        <x:v>0</x:v>
      </x:c>
      <x:c r="D7" s="30" t="n">
        <x:f>B7-C7</x:f>
        <x:v>25500</x:v>
      </x:c>
      <x:c r="E7" s="30" t="n">
        <x:f>-B7</x:f>
        <x:v>-25500</x:v>
      </x:c>
      <x:c r="F7" s="20" t="str">
        <x:v>Subledger posts Dr AR / Cr Migration Clearing</x:v>
      </x:c>
    </x:row>
    <x:row r="8">
      <x:c r="A8" s="20" t="str">
        <x:v>AP opening invoices</x:v>
      </x:c>
      <x:c r="B8" s="30" t="n">
        <x:f>0</x:f>
        <x:v>0</x:v>
      </x:c>
      <x:c r="C8" s="30" t="n">
        <x:f>SUM('AP Opening Invoices'!S5:S6)</x:f>
        <x:v>11200</x:v>
      </x:c>
      <x:c r="D8" s="30" t="n">
        <x:f>B8-C8</x:f>
        <x:v>-11200</x:v>
      </x:c>
      <x:c r="E8" s="30" t="n">
        <x:f>C8</x:f>
        <x:v>11200</x:v>
      </x:c>
      <x:c r="F8" s="20" t="str">
        <x:v>Subledger posts Dr Migration Clearing / Cr AP</x:v>
      </x:c>
    </x:row>
    <x:row r="9">
      <x:c r="A9" s="20" t="str">
        <x:v>Expected 1990 net</x:v>
      </x:c>
      <x:c r="B9" s="30" t="n">
        <x:f>B6+E8</x:f>
        <x:v>25500</x:v>
      </x:c>
      <x:c r="C9" s="30" t="n">
        <x:f>-E7</x:f>
        <x:v>25500</x:v>
      </x:c>
      <x:c r="D9" s="30" t="n">
        <x:f>B9-C9</x:f>
        <x:v>0</x:v>
      </x:c>
      <x:c r="E9" s="30" t="n">
        <x:f>SUM(E6:E8)</x:f>
        <x:v>0</x:v>
      </x:c>
      <x:c r="F9" s="20" t="str">
        <x:v>Should be zero when all three flows are posted</x:v>
      </x:c>
    </x:row>
    <x:row r="12" ht="32" customHeight="1">
      <x:c r="A12" s="17" t="str">
        <x:v>Trial Balance Shape</x:v>
      </x:c>
      <x:c r="B12" s="17" t="str">
        <x:v>Debit</x:v>
      </x:c>
      <x:c r="C12" s="17" t="str">
        <x:v>Credit</x:v>
      </x:c>
      <x:c r="D12" s="17" t="str">
        <x:v>Net</x:v>
      </x:c>
      <x:c r="E12" s="17" t="str">
        <x:v>Check</x:v>
      </x:c>
      <x:c r="F12" s="17" t="str">
        <x:v>Comment</x:v>
      </x:c>
    </x:row>
    <x:row r="13">
      <x:c r="A13" s="20" t="str">
        <x:v>Assets excluding AR</x:v>
      </x:c>
      <x:c r="B13" s="30" t="n">
        <x:f>SUM('GL Opening Journal'!I5:I9)-SUM('GL Opening Journal'!J5:J5)</x:f>
        <x:v>211500</x:v>
      </x:c>
      <x:c r="C13" s="30" t="n">
        <x:f>SUM('GL Opening Journal'!J10:J10)</x:f>
        <x:v>22000</x:v>
      </x:c>
      <x:c r="D13" s="30" t="n">
        <x:f>B13-C13</x:f>
        <x:v>189500</x:v>
      </x:c>
      <x:c r="E13" s="30"/>
      <x:c r="F13" s="20" t="str">
        <x:v>Cash, inventory, fixed assets net of accumulated depreciation</x:v>
      </x:c>
    </x:row>
    <x:row r="14">
      <x:c r="A14" s="20" t="str">
        <x:v>AR control from invoices</x:v>
      </x:c>
      <x:c r="B14" s="30" t="n">
        <x:f>SUM('AR Opening Invoices'!Q5:Q6)</x:f>
        <x:v>25500</x:v>
      </x:c>
      <x:c r="C14" s="30" t="n">
        <x:f>0</x:f>
        <x:v>0</x:v>
      </x:c>
      <x:c r="D14" s="30" t="n">
        <x:f>B14-C14</x:f>
        <x:v>25500</x:v>
      </x:c>
      <x:c r="E14" s="30"/>
      <x:c r="F14" s="20" t="str">
        <x:v>Generated from AR opening invoices</x:v>
      </x:c>
    </x:row>
    <x:row r="15">
      <x:c r="A15" s="20" t="str">
        <x:v>Liabilities</x:v>
      </x:c>
      <x:c r="B15" s="30" t="n">
        <x:f>0</x:f>
        <x:v>0</x:v>
      </x:c>
      <x:c r="C15" s="30" t="n">
        <x:f>SUM('AP Opening Invoices'!S5:S6)+SUM('GL Opening Journal'!J11:J12)</x:f>
        <x:v>62700</x:v>
      </x:c>
      <x:c r="D15" s="30" t="n">
        <x:f>B15-C15</x:f>
        <x:v>-62700</x:v>
      </x:c>
      <x:c r="E15" s="30"/>
      <x:c r="F15" s="20" t="str">
        <x:v>AP, accrued expenses, debt</x:v>
      </x:c>
    </x:row>
    <x:row r="16">
      <x:c r="A16" s="20" t="str">
        <x:v>Equity</x:v>
      </x:c>
      <x:c r="B16" s="30" t="n">
        <x:f>0</x:f>
        <x:v>0</x:v>
      </x:c>
      <x:c r="C16" s="30" t="n">
        <x:f>SUM('GL Opening Journal'!J13:J14)</x:f>
        <x:v>152300</x:v>
      </x:c>
      <x:c r="D16" s="30" t="n">
        <x:f>B16-C16</x:f>
        <x:v>-152300</x:v>
      </x:c>
      <x:c r="E16" s="30"/>
      <x:c r="F16" s="20" t="str">
        <x:v>Share capital and retained earnings</x:v>
      </x:c>
    </x:row>
    <x:row r="17">
      <x:c r="A17" s="20" t="str">
        <x:v>Total check</x:v>
      </x:c>
      <x:c r="B17" s="30" t="n">
        <x:f>SUM(B13:B16)</x:f>
        <x:v>237000</x:v>
      </x:c>
      <x:c r="C17" s="30" t="n">
        <x:f>SUM(C13:C16)</x:f>
        <x:v>237000</x:v>
      </x:c>
      <x:c r="D17" s="30" t="n">
        <x:f>B17-C17</x:f>
        <x:v>0</x:v>
      </x:c>
      <x:c r="E17" s="33" t="str">
        <x:f>IF(ABS(D17)&lt;0.01,"OK","Review")</x:f>
        <x:v>OK</x:v>
      </x:c>
      <x:c r="F17" s="20" t="str">
        <x:v>Debit total should equal credit total</x:v>
      </x:c>
    </x:row>
  </x:sheetData>
  <x:mergeCells>
    <x:mergeCell ref="A1:F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2" hidden="0" customWidth="1"/>
    <x:col min="5" max="5" width="32" hidden="0" customWidth="1"/>
    <x:col min="6" max="6" width="14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52" hidden="0" customWidth="1"/>
  </x:cols>
  <x:sheetData>
    <x:row r="1" ht="30" customHeight="1">
      <x:c r="A1" s="3" t="str">
        <x:v>GL Opening Journal</x:v>
      </x:c>
      <x:c r="B1" s="3" t="str">
        <x:v>GL Opening Journal</x:v>
      </x:c>
      <x:c r="C1" s="3" t="str">
        <x:v>GL Opening Journal</x:v>
      </x:c>
      <x:c r="D1" s="3" t="str">
        <x:v>GL Opening Journal</x:v>
      </x:c>
      <x:c r="E1" s="3" t="str">
        <x:v>GL Opening Journal</x:v>
      </x:c>
      <x:c r="F1" s="3" t="str">
        <x:v>GL Opening Journal</x:v>
      </x:c>
      <x:c r="G1" s="3" t="str">
        <x:v>GL Opening Journal</x:v>
      </x:c>
      <x:c r="H1" s="3" t="str">
        <x:v>GL Opening Journal</x:v>
      </x:c>
      <x:c r="I1" s="3" t="str">
        <x:v>GL Opening Journal</x:v>
      </x:c>
      <x:c r="J1" s="3" t="str">
        <x:v>GL Opening Journal</x:v>
      </x:c>
      <x:c r="K1" s="3" t="str">
        <x:v>GL Opening Journal</x:v>
      </x:c>
      <x:c r="L1" s="3" t="str">
        <x:v>GL Opening Journal</x:v>
      </x:c>
      <x:c r="M1" s="3" t="str">
        <x:v>GL Opening Journal</x:v>
      </x:c>
    </x:row>
    <x:row r="2" ht="34" customHeight="1">
      <x:c r="A2" s="6" t="str">
        <x:v>Create one Opening Balance journal. With auto-routing enabled, the app adds the Migration Clearing line needed to balance this journal.</x:v>
      </x:c>
      <x:c r="B2" s="6" t="str">
        <x:v>Create one Opening Balance journal. With auto-routing enabled, the app adds the Migration Clearing line needed to balance this journal.</x:v>
      </x:c>
      <x:c r="C2" s="6" t="str">
        <x:v>Create one Opening Balance journal. With auto-routing enabled, the app adds the Migration Clearing line needed to balance this journal.</x:v>
      </x:c>
      <x:c r="D2" s="6" t="str">
        <x:v>Create one Opening Balance journal. With auto-routing enabled, the app adds the Migration Clearing line needed to balance this journal.</x:v>
      </x:c>
      <x:c r="E2" s="6" t="str">
        <x:v>Create one Opening Balance journal. With auto-routing enabled, the app adds the Migration Clearing line needed to balance this journal.</x:v>
      </x:c>
      <x:c r="F2" s="6" t="str">
        <x:v>Create one Opening Balance journal. With auto-routing enabled, the app adds the Migration Clearing line needed to balance this journal.</x:v>
      </x:c>
      <x:c r="G2" s="6" t="str">
        <x:v>Create one Opening Balance journal. With auto-routing enabled, the app adds the Migration Clearing line needed to balance this journal.</x:v>
      </x:c>
      <x:c r="H2" s="6" t="str">
        <x:v>Create one Opening Balance journal. With auto-routing enabled, the app adds the Migration Clearing line needed to balance this journal.</x:v>
      </x:c>
      <x:c r="I2" s="6" t="str">
        <x:v>Create one Opening Balance journal. With auto-routing enabled, the app adds the Migration Clearing line needed to balance this journal.</x:v>
      </x:c>
      <x:c r="J2" s="6" t="str">
        <x:v>Create one Opening Balance journal. With auto-routing enabled, the app adds the Migration Clearing line needed to balance this journal.</x:v>
      </x:c>
      <x:c r="K2" s="6" t="str">
        <x:v>Create one Opening Balance journal. With auto-routing enabled, the app adds the Migration Clearing line needed to balance this journal.</x:v>
      </x:c>
      <x:c r="L2" s="6" t="str">
        <x:v>Create one Opening Balance journal. With auto-routing enabled, the app adds the Migration Clearing line needed to balance this journal.</x:v>
      </x:c>
      <x:c r="M2" s="6" t="str">
        <x:v>Create one Opening Balance journal. With auto-routing enabled, the app adds the Migration Clearing line needed to balance this journal.</x:v>
      </x:c>
      <x:c r="N2" s="6" t="str">
        <x:v>Create one Opening Balance journal. With auto-routing enabled, the app adds the Migration Clearing line needed to balance this journal.</x:v>
      </x:c>
    </x:row>
    <x:row r="4" ht="32" customHeight="1">
      <x:c r="A4" s="17" t="str">
        <x:v>Journal Number</x:v>
      </x:c>
      <x:c r="B4" s="17" t="str">
        <x:v>Transaction Date</x:v>
      </x:c>
      <x:c r="C4" s="17" t="str">
        <x:v>Journal Type</x:v>
      </x:c>
      <x:c r="D4" s="17" t="str">
        <x:v>Book Classification</x:v>
      </x:c>
      <x:c r="E4" s="17" t="str">
        <x:v>Description</x:v>
      </x:c>
      <x:c r="F4" s="17" t="str">
        <x:v>Account Code</x:v>
      </x:c>
      <x:c r="G4" s="17" t="str">
        <x:v>Account Name</x:v>
      </x:c>
      <x:c r="H4" s="17" t="str">
        <x:v>Transaction Type</x:v>
      </x:c>
      <x:c r="I4" s="17" t="str">
        <x:v>Debit</x:v>
      </x:c>
      <x:c r="J4" s="17" t="str">
        <x:v>Credit</x:v>
      </x:c>
      <x:c r="K4" s="17" t="str">
        <x:v>Currency</x:v>
      </x:c>
      <x:c r="L4" s="17" t="str">
        <x:v>Exchange Rate</x:v>
      </x:c>
      <x:c r="M4" s="17" t="str">
        <x:v>Notes</x:v>
      </x:c>
    </x:row>
    <x:row r="5">
      <x:c r="A5" s="20" t="str">
        <x:v>OB-GL-2026-06</x:v>
      </x:c>
      <x:c r="B5" s="34" t="n">
        <x:v>46174</x:v>
      </x:c>
      <x:c r="C5" s="20" t="str">
        <x:v>Opening Balance</x:v>
      </x:c>
      <x:c r="D5" s="20" t="str">
        <x:v>ALL_ACTIVE_BOOKS</x:v>
      </x:c>
      <x:c r="E5" s="20" t="str">
        <x:v>Opening cash balance</x:v>
      </x:c>
      <x:c r="F5" s="20" t="str">
        <x:v>1000</x:v>
      </x:c>
      <x:c r="G5" s="20" t="str">
        <x:v>Cash and Cash Equivalents</x:v>
      </x:c>
      <x:c r="H5" s="20" t="str">
        <x:v>Debit</x:v>
      </x:c>
      <x:c r="I5" s="30" t="n">
        <x:v>36000</x:v>
      </x:c>
      <x:c r="J5" s="30" t="str"/>
      <x:c r="K5" s="20" t="str">
        <x:v>GHS</x:v>
      </x:c>
      <x:c r="L5" s="35" t="n">
        <x:v>1</x:v>
      </x:c>
      <x:c r="M5" s="20" t="str">
        <x:v>GL opening balance; post via Journal Entries</x:v>
      </x:c>
    </x:row>
    <x:row r="6">
      <x:c r="A6" s="20" t="str">
        <x:v>OB-GL-2026-06</x:v>
      </x:c>
      <x:c r="B6" s="34" t="n">
        <x:v>46174</x:v>
      </x:c>
      <x:c r="C6" s="20" t="str">
        <x:v>Opening Balance</x:v>
      </x:c>
      <x:c r="D6" s="20" t="str">
        <x:v>ALL_ACTIVE_BOOKS</x:v>
      </x:c>
      <x:c r="E6" s="20" t="str">
        <x:v>Opening inventory balance</x:v>
      </x:c>
      <x:c r="F6" s="20" t="str">
        <x:v>1200</x:v>
      </x:c>
      <x:c r="G6" s="20" t="str">
        <x:v>Inventory</x:v>
      </x:c>
      <x:c r="H6" s="20" t="str">
        <x:v>Debit</x:v>
      </x:c>
      <x:c r="I6" s="30" t="n">
        <x:v>18500</x:v>
      </x:c>
      <x:c r="J6" s="30" t="str"/>
      <x:c r="K6" s="20" t="str">
        <x:v>GHS</x:v>
      </x:c>
      <x:c r="L6" s="35" t="n">
        <x:v>1</x:v>
      </x:c>
      <x:c r="M6" s="20" t="str">
        <x:v>Use direct GL because inventory stock detail is outside this finance-only sample</x:v>
      </x:c>
    </x:row>
    <x:row r="7">
      <x:c r="A7" s="20" t="str">
        <x:v>OB-GL-2026-06</x:v>
      </x:c>
      <x:c r="B7" s="34" t="n">
        <x:v>46174</x:v>
      </x:c>
      <x:c r="C7" s="20" t="str">
        <x:v>Opening Balance</x:v>
      </x:c>
      <x:c r="D7" s="20" t="str">
        <x:v>ALL_ACTIVE_BOOKS</x:v>
      </x:c>
      <x:c r="E7" s="20" t="str">
        <x:v>Opening building cost</x:v>
      </x:c>
      <x:c r="F7" s="20" t="str">
        <x:v>1510</x:v>
      </x:c>
      <x:c r="G7" s="20" t="str">
        <x:v>Buildings</x:v>
      </x:c>
      <x:c r="H7" s="20" t="str">
        <x:v>Debit</x:v>
      </x:c>
      <x:c r="I7" s="30" t="n">
        <x:v>80000</x:v>
      </x:c>
      <x:c r="J7" s="30" t="str"/>
      <x:c r="K7" s="20" t="str">
        <x:v>GHS</x:v>
      </x:c>
      <x:c r="L7" s="35" t="n">
        <x:v>1</x:v>
      </x:c>
      <x:c r="M7" s="20" t="str">
        <x:v>Gross asset value; register details are on Fixed Assets tab</x:v>
      </x:c>
    </x:row>
    <x:row r="8">
      <x:c r="A8" s="20" t="str">
        <x:v>OB-GL-2026-06</x:v>
      </x:c>
      <x:c r="B8" s="34" t="n">
        <x:v>46174</x:v>
      </x:c>
      <x:c r="C8" s="20" t="str">
        <x:v>Opening Balance</x:v>
      </x:c>
      <x:c r="D8" s="20" t="str">
        <x:v>ALL_ACTIVE_BOOKS</x:v>
      </x:c>
      <x:c r="E8" s="20" t="str">
        <x:v>Opening equipment cost</x:v>
      </x:c>
      <x:c r="F8" s="20" t="str">
        <x:v>1520</x:v>
      </x:c>
      <x:c r="G8" s="20" t="str">
        <x:v>Equipment</x:v>
      </x:c>
      <x:c r="H8" s="20" t="str">
        <x:v>Debit</x:v>
      </x:c>
      <x:c r="I8" s="30" t="n">
        <x:v>35000</x:v>
      </x:c>
      <x:c r="J8" s="30" t="str"/>
      <x:c r="K8" s="20" t="str">
        <x:v>GHS</x:v>
      </x:c>
      <x:c r="L8" s="35" t="n">
        <x:v>1</x:v>
      </x:c>
      <x:c r="M8" s="20" t="str">
        <x:v>Gross asset value; register details are on Fixed Assets tab</x:v>
      </x:c>
    </x:row>
    <x:row r="9">
      <x:c r="A9" s="20" t="str">
        <x:v>OB-GL-2026-06</x:v>
      </x:c>
      <x:c r="B9" s="34" t="n">
        <x:v>46174</x:v>
      </x:c>
      <x:c r="C9" s="20" t="str">
        <x:v>Opening Balance</x:v>
      </x:c>
      <x:c r="D9" s="20" t="str">
        <x:v>ALL_ACTIVE_BOOKS</x:v>
      </x:c>
      <x:c r="E9" s="20" t="str">
        <x:v>Opening vehicle cost</x:v>
      </x:c>
      <x:c r="F9" s="20" t="str">
        <x:v>1530</x:v>
      </x:c>
      <x:c r="G9" s="20" t="str">
        <x:v>Vehicles</x:v>
      </x:c>
      <x:c r="H9" s="20" t="str">
        <x:v>Debit</x:v>
      </x:c>
      <x:c r="I9" s="30" t="n">
        <x:v>42000</x:v>
      </x:c>
      <x:c r="J9" s="30" t="str"/>
      <x:c r="K9" s="20" t="str">
        <x:v>GHS</x:v>
      </x:c>
      <x:c r="L9" s="35" t="n">
        <x:v>1</x:v>
      </x:c>
      <x:c r="M9" s="20" t="str">
        <x:v>Gross asset value; register details are on Fixed Assets tab</x:v>
      </x:c>
    </x:row>
    <x:row r="10">
      <x:c r="A10" s="20" t="str">
        <x:v>OB-GL-2026-06</x:v>
      </x:c>
      <x:c r="B10" s="34" t="n">
        <x:v>46174</x:v>
      </x:c>
      <x:c r="C10" s="20" t="str">
        <x:v>Opening Balance</x:v>
      </x:c>
      <x:c r="D10" s="20" t="str">
        <x:v>ALL_ACTIVE_BOOKS</x:v>
      </x:c>
      <x:c r="E10" s="20" t="str">
        <x:v>Opening accumulated depreciation</x:v>
      </x:c>
      <x:c r="F10" s="20" t="str">
        <x:v>1590</x:v>
      </x:c>
      <x:c r="G10" s="20" t="str">
        <x:v>Accumulated Depreciation</x:v>
      </x:c>
      <x:c r="H10" s="20" t="str">
        <x:v>Credit</x:v>
      </x:c>
      <x:c r="I10" s="30" t="str"/>
      <x:c r="J10" s="30" t="n">
        <x:v>22000</x:v>
      </x:c>
      <x:c r="K10" s="20" t="str">
        <x:v>GHS</x:v>
      </x:c>
      <x:c r="L10" s="35" t="n">
        <x:v>1</x:v>
      </x:c>
      <x:c r="M10" s="20" t="str">
        <x:v>Fixed asset import does not carry accumulated depreciation; post this via GL</x:v>
      </x:c>
    </x:row>
    <x:row r="11">
      <x:c r="A11" s="20" t="str">
        <x:v>OB-GL-2026-06</x:v>
      </x:c>
      <x:c r="B11" s="34" t="n">
        <x:v>46174</x:v>
      </x:c>
      <x:c r="C11" s="20" t="str">
        <x:v>Opening Balance</x:v>
      </x:c>
      <x:c r="D11" s="20" t="str">
        <x:v>ALL_ACTIVE_BOOKS</x:v>
      </x:c>
      <x:c r="E11" s="20" t="str">
        <x:v>Opening accrued expenses</x:v>
      </x:c>
      <x:c r="F11" s="20" t="str">
        <x:v>2100</x:v>
      </x:c>
      <x:c r="G11" s="20" t="str">
        <x:v>Accrued Expenses</x:v>
      </x:c>
      <x:c r="H11" s="20" t="str">
        <x:v>Credit</x:v>
      </x:c>
      <x:c r="I11" s="30" t="str"/>
      <x:c r="J11" s="30" t="n">
        <x:v>6500</x:v>
      </x:c>
      <x:c r="K11" s="20" t="str">
        <x:v>GHS</x:v>
      </x:c>
      <x:c r="L11" s="35" t="n">
        <x:v>1</x:v>
      </x:c>
      <x:c r="M11" s="20" t="str">
        <x:v>Direct GL liability balance</x:v>
      </x:c>
    </x:row>
    <x:row r="12">
      <x:c r="A12" s="20" t="str">
        <x:v>OB-GL-2026-06</x:v>
      </x:c>
      <x:c r="B12" s="34" t="n">
        <x:v>46174</x:v>
      </x:c>
      <x:c r="C12" s="20" t="str">
        <x:v>Opening Balance</x:v>
      </x:c>
      <x:c r="D12" s="20" t="str">
        <x:v>ALL_ACTIVE_BOOKS</x:v>
      </x:c>
      <x:c r="E12" s="20" t="str">
        <x:v>Opening long-term debt</x:v>
      </x:c>
      <x:c r="F12" s="20" t="str">
        <x:v>2500</x:v>
      </x:c>
      <x:c r="G12" s="20" t="str">
        <x:v>Long-term Debt</x:v>
      </x:c>
      <x:c r="H12" s="20" t="str">
        <x:v>Credit</x:v>
      </x:c>
      <x:c r="I12" s="30" t="str"/>
      <x:c r="J12" s="30" t="n">
        <x:v>45000</x:v>
      </x:c>
      <x:c r="K12" s="20" t="str">
        <x:v>GHS</x:v>
      </x:c>
      <x:c r="L12" s="35" t="n">
        <x:v>1</x:v>
      </x:c>
      <x:c r="M12" s="20" t="str">
        <x:v>Direct GL liability balance</x:v>
      </x:c>
    </x:row>
    <x:row r="13">
      <x:c r="A13" s="20" t="str">
        <x:v>OB-GL-2026-06</x:v>
      </x:c>
      <x:c r="B13" s="34" t="n">
        <x:v>46174</x:v>
      </x:c>
      <x:c r="C13" s="20" t="str">
        <x:v>Opening Balance</x:v>
      </x:c>
      <x:c r="D13" s="20" t="str">
        <x:v>ALL_ACTIVE_BOOKS</x:v>
      </x:c>
      <x:c r="E13" s="20" t="str">
        <x:v>Opening share capital</x:v>
      </x:c>
      <x:c r="F13" s="20" t="str">
        <x:v>3000</x:v>
      </x:c>
      <x:c r="G13" s="20" t="str">
        <x:v>Share Capital</x:v>
      </x:c>
      <x:c r="H13" s="20" t="str">
        <x:v>Credit</x:v>
      </x:c>
      <x:c r="I13" s="30" t="str"/>
      <x:c r="J13" s="30" t="n">
        <x:v>100000</x:v>
      </x:c>
      <x:c r="K13" s="20" t="str">
        <x:v>GHS</x:v>
      </x:c>
      <x:c r="L13" s="35" t="n">
        <x:v>1</x:v>
      </x:c>
      <x:c r="M13" s="20" t="str">
        <x:v>Direct GL equity balance</x:v>
      </x:c>
    </x:row>
    <x:row r="14">
      <x:c r="A14" s="20" t="str">
        <x:v>OB-GL-2026-06</x:v>
      </x:c>
      <x:c r="B14" s="34" t="n">
        <x:v>46174</x:v>
      </x:c>
      <x:c r="C14" s="20" t="str">
        <x:v>Opening Balance</x:v>
      </x:c>
      <x:c r="D14" s="20" t="str">
        <x:v>ALL_ACTIVE_BOOKS</x:v>
      </x:c>
      <x:c r="E14" s="20" t="str">
        <x:v>Opening retained earnings</x:v>
      </x:c>
      <x:c r="F14" s="20" t="str">
        <x:v>3100</x:v>
      </x:c>
      <x:c r="G14" s="20" t="str">
        <x:v>Retained Earnings</x:v>
      </x:c>
      <x:c r="H14" s="20" t="str">
        <x:v>Credit</x:v>
      </x:c>
      <x:c r="I14" s="30" t="str"/>
      <x:c r="J14" s="30" t="n">
        <x:v>52300</x:v>
      </x:c>
      <x:c r="K14" s="20" t="str">
        <x:v>GHS</x:v>
      </x:c>
      <x:c r="L14" s="35" t="n">
        <x:v>1</x:v>
      </x:c>
      <x:c r="M14" s="20" t="str">
        <x:v>Balancing equity/reserves amount</x:v>
      </x:c>
    </x:row>
    <x:row r="17" ht="32" customHeight="1">
      <x:c r="A17" s="17" t="str">
        <x:v>GL Direct Totals</x:v>
      </x:c>
      <x:c r="B17" s="17" t="str">
        <x:v>Debit</x:v>
      </x:c>
      <x:c r="C17" s="17" t="str">
        <x:v>Credit</x:v>
      </x:c>
      <x:c r="D17" s="17" t="str">
        <x:v>Credit - Debit</x:v>
      </x:c>
      <x:c r="E17" s="17" t="str">
        <x:v>Expected Auto Route</x:v>
      </x:c>
      <x:c r="F17" s="17" t="str">
        <x:v>Migration Clearing Impact</x:v>
      </x:c>
    </x:row>
    <x:row r="18">
      <x:c r="A18" s="20" t="str">
        <x:v>Totals</x:v>
      </x:c>
      <x:c r="B18" s="30" t="n">
        <x:f>SUM(I5:I14)</x:f>
        <x:v>211500</x:v>
      </x:c>
      <x:c r="C18" s="30" t="n">
        <x:f>SUM(J5:J14)</x:f>
        <x:v>225800</x:v>
      </x:c>
      <x:c r="D18" s="30" t="n">
        <x:f>C18-B18</x:f>
        <x:v>14300</x:v>
      </x:c>
      <x:c r="E18" s="20" t="str">
        <x:f>IF(D18&gt;0,"Debit 1990","Credit 1990")</x:f>
        <x:v>Debit 1990</x:v>
      </x:c>
      <x:c r="F18" s="30" t="n">
        <x:f>IF(D18&gt;0,D18,-D18)</x:f>
        <x:v>14300</x:v>
      </x:c>
    </x:row>
  </x:sheetData>
  <x:mergeCells>
    <x:mergeCell ref="A1:M1"/>
    <x:mergeCell ref="A2:N2"/>
  </x:mergeCells>
  <x:dataValidations count="3">
    <x:dataValidation type="list" sqref="H5:H14">
      <x:formula1>"Debit,Credit"</x:formula1>
    </x:dataValidation>
    <x:dataValidation type="list" sqref="C5:C14">
      <x:formula1>"Opening Balance"</x:formula1>
    </x:dataValidation>
    <x:dataValidation type="list" sqref="D5:D14">
      <x:formula1>"ALL_ACTIVE_BOOKS,IFRS,LOCAL_STATUTORY,MANAGEMENT"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37a79ab5e346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4" hidden="0" customWidth="1"/>
    <x:col min="4" max="4" width="15" hidden="0" customWidth="1"/>
    <x:col min="5" max="5" width="15" hidden="0" customWidth="1"/>
    <x:col min="6" max="6" width="16" hidden="0" customWidth="1"/>
    <x:col min="7" max="7" width="18" hidden="0" customWidth="1"/>
    <x:col min="8" max="8" width="12" hidden="0" customWidth="1"/>
    <x:col min="9" max="9" width="14" hidden="0" customWidth="1"/>
    <x:col min="10" max="10" width="36" hidden="0" customWidth="1"/>
    <x:col min="11" max="11" width="16" hidden="0" customWidth="1"/>
    <x:col min="12" max="12" width="28" hidden="0" customWidth="1"/>
    <x:col min="13" max="13" width="10" hidden="0" customWidth="1"/>
    <x:col min="14" max="14" width="14" hidden="0" customWidth="1"/>
    <x:col min="15" max="15" width="12" hidden="0" customWidth="1"/>
    <x:col min="16" max="16" width="12" hidden="0" customWidth="1"/>
    <x:col min="17" max="17" width="14" hidden="0" customWidth="1"/>
    <x:col min="18" max="18" width="48" hidden="0" customWidth="1"/>
  </x:cols>
  <x:sheetData>
    <x:row r="1" ht="30" customHeight="1">
      <x:c r="A1" s="3" t="str">
        <x:v>AR Opening Invoices</x:v>
      </x:c>
      <x:c r="B1" s="3" t="str">
        <x:v>AR Opening Invoices</x:v>
      </x:c>
      <x:c r="C1" s="3" t="str">
        <x:v>AR Opening Invoices</x:v>
      </x:c>
      <x:c r="D1" s="3" t="str">
        <x:v>AR Opening Invoices</x:v>
      </x:c>
      <x:c r="E1" s="3" t="str">
        <x:v>AR Opening Invoices</x:v>
      </x:c>
      <x:c r="F1" s="3" t="str">
        <x:v>AR Opening Invoices</x:v>
      </x:c>
      <x:c r="G1" s="3" t="str">
        <x:v>AR Opening Invoices</x:v>
      </x:c>
      <x:c r="H1" s="3" t="str">
        <x:v>AR Opening Invoices</x:v>
      </x:c>
      <x:c r="I1" s="3" t="str">
        <x:v>AR Opening Invoices</x:v>
      </x:c>
      <x:c r="J1" s="3" t="str">
        <x:v>AR Opening Invoices</x:v>
      </x:c>
      <x:c r="K1" s="3" t="str">
        <x:v>AR Opening Invoices</x:v>
      </x:c>
      <x:c r="L1" s="3" t="str">
        <x:v>AR Opening Invoices</x:v>
      </x:c>
      <x:c r="M1" s="3" t="str">
        <x:v>AR Opening Invoices</x:v>
      </x:c>
      <x:c r="N1" s="3" t="str">
        <x:v>AR Opening Invoices</x:v>
      </x:c>
      <x:c r="O1" s="3" t="str">
        <x:v>AR Opening Invoices</x:v>
      </x:c>
      <x:c r="P1" s="3" t="str">
        <x:v>AR Opening Invoices</x:v>
      </x:c>
      <x:c r="Q1" s="3" t="str">
        <x:v>AR Opening Invoices</x:v>
      </x:c>
      <x:c r="R1" s="3" t="str">
        <x:v>AR Opening Invoices</x:v>
      </x:c>
    </x:row>
    <x:row r="2" ht="34" customHeight="1">
      <x:c r="A2" s="6" t="str">
        <x:v>Create these as customer invoices with Is Opening Balance checked. Send/post them so the app posts Dr AR / Cr Migration Clearing.</x:v>
      </x:c>
      <x:c r="B2" s="6" t="str">
        <x:v>Create these as customer invoices with Is Opening Balance checked. Send/post them so the app posts Dr AR / Cr Migration Clearing.</x:v>
      </x:c>
      <x:c r="C2" s="6" t="str">
        <x:v>Create these as customer invoices with Is Opening Balance checked. Send/post them so the app posts Dr AR / Cr Migration Clearing.</x:v>
      </x:c>
      <x:c r="D2" s="6" t="str">
        <x:v>Create these as customer invoices with Is Opening Balance checked. Send/post them so the app posts Dr AR / Cr Migration Clearing.</x:v>
      </x:c>
      <x:c r="E2" s="6" t="str">
        <x:v>Create these as customer invoices with Is Opening Balance checked. Send/post them so the app posts Dr AR / Cr Migration Clearing.</x:v>
      </x:c>
      <x:c r="F2" s="6" t="str">
        <x:v>Create these as customer invoices with Is Opening Balance checked. Send/post them so the app posts Dr AR / Cr Migration Clearing.</x:v>
      </x:c>
      <x:c r="G2" s="6" t="str">
        <x:v>Create these as customer invoices with Is Opening Balance checked. Send/post them so the app posts Dr AR / Cr Migration Clearing.</x:v>
      </x:c>
      <x:c r="H2" s="6" t="str">
        <x:v>Create these as customer invoices with Is Opening Balance checked. Send/post them so the app posts Dr AR / Cr Migration Clearing.</x:v>
      </x:c>
      <x:c r="I2" s="6" t="str">
        <x:v>Create these as customer invoices with Is Opening Balance checked. Send/post them so the app posts Dr AR / Cr Migration Clearing.</x:v>
      </x:c>
      <x:c r="J2" s="6" t="str">
        <x:v>Create these as customer invoices with Is Opening Balance checked. Send/post them so the app posts Dr AR / Cr Migration Clearing.</x:v>
      </x:c>
      <x:c r="K2" s="6" t="str">
        <x:v>Create these as customer invoices with Is Opening Balance checked. Send/post them so the app posts Dr AR / Cr Migration Clearing.</x:v>
      </x:c>
      <x:c r="L2" s="6" t="str">
        <x:v>Create these as customer invoices with Is Opening Balance checked. Send/post them so the app posts Dr AR / Cr Migration Clearing.</x:v>
      </x:c>
      <x:c r="M2" s="6" t="str">
        <x:v>Create these as customer invoices with Is Opening Balance checked. Send/post them so the app posts Dr AR / Cr Migration Clearing.</x:v>
      </x:c>
      <x:c r="N2" s="6" t="str">
        <x:v>Create these as customer invoices with Is Opening Balance checked. Send/post them so the app posts Dr AR / Cr Migration Clearing.</x:v>
      </x:c>
    </x:row>
    <x:row r="4" ht="32" customHeight="1">
      <x:c r="A4" s="17" t="str">
        <x:v>Source Ref</x:v>
      </x:c>
      <x:c r="B4" s="17" t="str">
        <x:v>Customer Id</x:v>
      </x:c>
      <x:c r="C4" s="17" t="str">
        <x:v>Customer Name</x:v>
      </x:c>
      <x:c r="D4" s="17" t="str">
        <x:v>Invoice Date</x:v>
      </x:c>
      <x:c r="E4" s="17" t="str">
        <x:v>Due Date</x:v>
      </x:c>
      <x:c r="F4" s="17" t="str">
        <x:v>Reference</x:v>
      </x:c>
      <x:c r="G4" s="17" t="str">
        <x:v>Is Opening Balance</x:v>
      </x:c>
      <x:c r="H4" s="17" t="str">
        <x:v>Currency</x:v>
      </x:c>
      <x:c r="I4" s="17" t="str">
        <x:v>Exchange Rate</x:v>
      </x:c>
      <x:c r="J4" s="17" t="str">
        <x:v>Invoice Notes</x:v>
      </x:c>
      <x:c r="K4" s="17" t="str">
        <x:v>Line Item Type</x:v>
      </x:c>
      <x:c r="L4" s="17" t="str">
        <x:v>Line Description</x:v>
      </x:c>
      <x:c r="M4" s="17" t="str">
        <x:v>Quantity</x:v>
      </x:c>
      <x:c r="N4" s="17" t="str">
        <x:v>Unit Price</x:v>
      </x:c>
      <x:c r="O4" s="17" t="str">
        <x:v>Discount %</x:v>
      </x:c>
      <x:c r="P4" s="17" t="str">
        <x:v>Tax Code</x:v>
      </x:c>
      <x:c r="Q4" s="17" t="str">
        <x:v>Line Total</x:v>
      </x:c>
      <x:c r="R4" s="17" t="str">
        <x:v>Posting Notes</x:v>
      </x:c>
    </x:row>
    <x:row r="5">
      <x:c r="A5" s="20" t="str">
        <x:v>AR-OB-001</x:v>
      </x:c>
      <x:c r="B5" s="20" t="str"/>
      <x:c r="C5" s="20" t="str">
        <x:v>Demo Customer A</x:v>
      </x:c>
      <x:c r="D5" s="34" t="n">
        <x:v>46174</x:v>
      </x:c>
      <x:c r="E5" s="34" t="n">
        <x:v>46203</x:v>
      </x:c>
      <x:c r="F5" s="20" t="str">
        <x:v>OPEN-AR-A</x:v>
      </x:c>
      <x:c r="G5" s="20" t="str">
        <x:v>TRUE</x:v>
      </x:c>
      <x:c r="H5" s="20" t="str">
        <x:v>GHS</x:v>
      </x:c>
      <x:c r="I5" s="35" t="n">
        <x:v>1</x:v>
      </x:c>
      <x:c r="J5" s="20" t="str">
        <x:v>Opening AR balance - Demo Customer A</x:v>
      </x:c>
      <x:c r="K5" s="20" t="str">
        <x:v>Service</x:v>
      </x:c>
      <x:c r="L5" s="20" t="str">
        <x:v>Opening customer balance</x:v>
      </x:c>
      <x:c r="M5" s="30" t="n">
        <x:v>1</x:v>
      </x:c>
      <x:c r="N5" s="30" t="n">
        <x:v>18000</x:v>
      </x:c>
      <x:c r="O5" s="30" t="n">
        <x:v>0</x:v>
      </x:c>
      <x:c r="P5" s="20" t="str"/>
      <x:c r="Q5" s="30" t="n">
        <x:f>M5*N5*(1-O5/100)</x:f>
        <x:v>18000</x:v>
      </x:c>
      <x:c r="R5" s="20" t="str">
        <x:v>After creating/saving, send/post invoice to trigger AR opening-balance journal</x:v>
      </x:c>
    </x:row>
    <x:row r="6">
      <x:c r="A6" s="20" t="str">
        <x:v>AR-OB-002</x:v>
      </x:c>
      <x:c r="B6" s="20" t="str"/>
      <x:c r="C6" s="20" t="str">
        <x:v>Demo Customer B</x:v>
      </x:c>
      <x:c r="D6" s="34" t="n">
        <x:v>46174</x:v>
      </x:c>
      <x:c r="E6" s="34" t="n">
        <x:v>46203</x:v>
      </x:c>
      <x:c r="F6" s="20" t="str">
        <x:v>OPEN-AR-B</x:v>
      </x:c>
      <x:c r="G6" s="20" t="str">
        <x:v>TRUE</x:v>
      </x:c>
      <x:c r="H6" s="20" t="str">
        <x:v>GHS</x:v>
      </x:c>
      <x:c r="I6" s="35" t="n">
        <x:v>1</x:v>
      </x:c>
      <x:c r="J6" s="20" t="str">
        <x:v>Opening AR balance - Demo Customer B</x:v>
      </x:c>
      <x:c r="K6" s="20" t="str">
        <x:v>Service</x:v>
      </x:c>
      <x:c r="L6" s="20" t="str">
        <x:v>Opening customer balance</x:v>
      </x:c>
      <x:c r="M6" s="30" t="n">
        <x:v>1</x:v>
      </x:c>
      <x:c r="N6" s="30" t="n">
        <x:v>7500</x:v>
      </x:c>
      <x:c r="O6" s="30" t="n">
        <x:v>0</x:v>
      </x:c>
      <x:c r="P6" s="20" t="str"/>
      <x:c r="Q6" s="30" t="n">
        <x:f>M6*N6*(1-O6/100)</x:f>
        <x:v>7500</x:v>
      </x:c>
      <x:c r="R6" s="20" t="str">
        <x:v>Use an existing customer ID from AR Customers</x:v>
      </x:c>
    </x:row>
  </x:sheetData>
  <x:mergeCells>
    <x:mergeCell ref="A1:R1"/>
    <x:mergeCell ref="A2:N2"/>
  </x:mergeCells>
  <x:dataValidations count="2">
    <x:dataValidation type="list" sqref="G5:G6">
      <x:formula1>"TRUE,FALSE"</x:formula1>
    </x:dataValidation>
    <x:dataValidation type="list" sqref="K5:K6">
      <x:formula1>"Service,Product,Inventory"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807267c74d4e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4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8" hidden="0" customWidth="1"/>
    <x:col min="10" max="10" width="12" hidden="0" customWidth="1"/>
    <x:col min="11" max="11" width="14" hidden="0" customWidth="1"/>
    <x:col min="12" max="12" width="36" hidden="0" customWidth="1"/>
    <x:col min="13" max="13" width="16" hidden="0" customWidth="1"/>
    <x:col min="14" max="14" width="28" hidden="0" customWidth="1"/>
    <x:col min="15" max="15" width="10" hidden="0" customWidth="1"/>
    <x:col min="16" max="16" width="14" hidden="0" customWidth="1"/>
    <x:col min="17" max="17" width="12" hidden="0" customWidth="1"/>
    <x:col min="18" max="18" width="12" hidden="0" customWidth="1"/>
    <x:col min="19" max="19" width="14" hidden="0" customWidth="1"/>
    <x:col min="20" max="20" width="48" hidden="0" customWidth="1"/>
  </x:cols>
  <x:sheetData>
    <x:row r="1" ht="30" customHeight="1">
      <x:c r="A1" s="3" t="str">
        <x:v>AP Opening Invoices</x:v>
      </x:c>
      <x:c r="B1" s="3" t="str">
        <x:v>AP Opening Invoices</x:v>
      </x:c>
      <x:c r="C1" s="3" t="str">
        <x:v>AP Opening Invoices</x:v>
      </x:c>
      <x:c r="D1" s="3" t="str">
        <x:v>AP Opening Invoices</x:v>
      </x:c>
      <x:c r="E1" s="3" t="str">
        <x:v>AP Opening Invoices</x:v>
      </x:c>
      <x:c r="F1" s="3" t="str">
        <x:v>AP Opening Invoices</x:v>
      </x:c>
      <x:c r="G1" s="3" t="str">
        <x:v>AP Opening Invoices</x:v>
      </x:c>
      <x:c r="H1" s="3" t="str">
        <x:v>AP Opening Invoices</x:v>
      </x:c>
      <x:c r="I1" s="3" t="str">
        <x:v>AP Opening Invoices</x:v>
      </x:c>
      <x:c r="J1" s="3" t="str">
        <x:v>AP Opening Invoices</x:v>
      </x:c>
      <x:c r="K1" s="3" t="str">
        <x:v>AP Opening Invoices</x:v>
      </x:c>
      <x:c r="L1" s="3" t="str">
        <x:v>AP Opening Invoices</x:v>
      </x:c>
      <x:c r="M1" s="3" t="str">
        <x:v>AP Opening Invoices</x:v>
      </x:c>
      <x:c r="N1" s="3" t="str">
        <x:v>AP Opening Invoices</x:v>
      </x:c>
      <x:c r="O1" s="3" t="str">
        <x:v>AP Opening Invoices</x:v>
      </x:c>
      <x:c r="P1" s="3" t="str">
        <x:v>AP Opening Invoices</x:v>
      </x:c>
      <x:c r="Q1" s="3" t="str">
        <x:v>AP Opening Invoices</x:v>
      </x:c>
      <x:c r="R1" s="3" t="str">
        <x:v>AP Opening Invoices</x:v>
      </x:c>
      <x:c r="S1" s="3" t="str">
        <x:v>AP Opening Invoices</x:v>
      </x:c>
      <x:c r="T1" s="3" t="str">
        <x:v>AP Opening Invoices</x:v>
      </x:c>
    </x:row>
    <x:row r="2" ht="34" customHeight="1">
      <x:c r="A2" s="6" t="str">
        <x:v>Create these as vendor invoices with Is Opening Balance checked. Approve/post them so the app posts Dr Migration Clearing / Cr AP.</x:v>
      </x:c>
      <x:c r="B2" s="6" t="str">
        <x:v>Create these as vendor invoices with Is Opening Balance checked. Approve/post them so the app posts Dr Migration Clearing / Cr AP.</x:v>
      </x:c>
      <x:c r="C2" s="6" t="str">
        <x:v>Create these as vendor invoices with Is Opening Balance checked. Approve/post them so the app posts Dr Migration Clearing / Cr AP.</x:v>
      </x:c>
      <x:c r="D2" s="6" t="str">
        <x:v>Create these as vendor invoices with Is Opening Balance checked. Approve/post them so the app posts Dr Migration Clearing / Cr AP.</x:v>
      </x:c>
      <x:c r="E2" s="6" t="str">
        <x:v>Create these as vendor invoices with Is Opening Balance checked. Approve/post them so the app posts Dr Migration Clearing / Cr AP.</x:v>
      </x:c>
      <x:c r="F2" s="6" t="str">
        <x:v>Create these as vendor invoices with Is Opening Balance checked. Approve/post them so the app posts Dr Migration Clearing / Cr AP.</x:v>
      </x:c>
      <x:c r="G2" s="6" t="str">
        <x:v>Create these as vendor invoices with Is Opening Balance checked. Approve/post them so the app posts Dr Migration Clearing / Cr AP.</x:v>
      </x:c>
      <x:c r="H2" s="6" t="str">
        <x:v>Create these as vendor invoices with Is Opening Balance checked. Approve/post them so the app posts Dr Migration Clearing / Cr AP.</x:v>
      </x:c>
      <x:c r="I2" s="6" t="str">
        <x:v>Create these as vendor invoices with Is Opening Balance checked. Approve/post them so the app posts Dr Migration Clearing / Cr AP.</x:v>
      </x:c>
      <x:c r="J2" s="6" t="str">
        <x:v>Create these as vendor invoices with Is Opening Balance checked. Approve/post them so the app posts Dr Migration Clearing / Cr AP.</x:v>
      </x:c>
      <x:c r="K2" s="6" t="str">
        <x:v>Create these as vendor invoices with Is Opening Balance checked. Approve/post them so the app posts Dr Migration Clearing / Cr AP.</x:v>
      </x:c>
      <x:c r="L2" s="6" t="str">
        <x:v>Create these as vendor invoices with Is Opening Balance checked. Approve/post them so the app posts Dr Migration Clearing / Cr AP.</x:v>
      </x:c>
      <x:c r="M2" s="6" t="str">
        <x:v>Create these as vendor invoices with Is Opening Balance checked. Approve/post them so the app posts Dr Migration Clearing / Cr AP.</x:v>
      </x:c>
      <x:c r="N2" s="6" t="str">
        <x:v>Create these as vendor invoices with Is Opening Balance checked. Approve/post them so the app posts Dr Migration Clearing / Cr AP.</x:v>
      </x:c>
    </x:row>
    <x:row r="4" ht="32" customHeight="1">
      <x:c r="A4" s="17" t="str">
        <x:v>Source Ref</x:v>
      </x:c>
      <x:c r="B4" s="17" t="str">
        <x:v>Supplier Id</x:v>
      </x:c>
      <x:c r="C4" s="17" t="str">
        <x:v>Supplier Name</x:v>
      </x:c>
      <x:c r="D4" s="17" t="str">
        <x:v>Supplier Invoice No</x:v>
      </x:c>
      <x:c r="E4" s="17" t="str">
        <x:v>Invoice Date</x:v>
      </x:c>
      <x:c r="F4" s="17" t="str">
        <x:v>Received Date</x:v>
      </x:c>
      <x:c r="G4" s="17" t="str">
        <x:v>Due Date</x:v>
      </x:c>
      <x:c r="H4" s="17" t="str">
        <x:v>Reference</x:v>
      </x:c>
      <x:c r="I4" s="17" t="str">
        <x:v>Is Opening Balance</x:v>
      </x:c>
      <x:c r="J4" s="17" t="str">
        <x:v>Currency</x:v>
      </x:c>
      <x:c r="K4" s="17" t="str">
        <x:v>Exchange Rate</x:v>
      </x:c>
      <x:c r="L4" s="17" t="str">
        <x:v>Invoice Notes</x:v>
      </x:c>
      <x:c r="M4" s="17" t="str">
        <x:v>Line Item Type</x:v>
      </x:c>
      <x:c r="N4" s="17" t="str">
        <x:v>Line Description</x:v>
      </x:c>
      <x:c r="O4" s="17" t="str">
        <x:v>Quantity</x:v>
      </x:c>
      <x:c r="P4" s="17" t="str">
        <x:v>Unit Price</x:v>
      </x:c>
      <x:c r="Q4" s="17" t="str">
        <x:v>Tax Rate %</x:v>
      </x:c>
      <x:c r="R4" s="17" t="str">
        <x:v>Tax Code</x:v>
      </x:c>
      <x:c r="S4" s="17" t="str">
        <x:v>Line Total</x:v>
      </x:c>
      <x:c r="T4" s="17" t="str">
        <x:v>Posting Notes</x:v>
      </x:c>
    </x:row>
    <x:row r="5">
      <x:c r="A5" s="20" t="str">
        <x:v>AP-OB-001</x:v>
      </x:c>
      <x:c r="B5" s="20" t="str"/>
      <x:c r="C5" s="20" t="str">
        <x:v>Demo Supplier A</x:v>
      </x:c>
      <x:c r="D5" s="20" t="str">
        <x:v>SUP-OB-A</x:v>
      </x:c>
      <x:c r="E5" s="34" t="n">
        <x:v>46174</x:v>
      </x:c>
      <x:c r="F5" s="34" t="n">
        <x:v>46174</x:v>
      </x:c>
      <x:c r="G5" s="34" t="n">
        <x:v>46203</x:v>
      </x:c>
      <x:c r="H5" s="20" t="str">
        <x:v>OPEN-AP-A</x:v>
      </x:c>
      <x:c r="I5" s="20" t="str">
        <x:v>TRUE</x:v>
      </x:c>
      <x:c r="J5" s="20" t="str">
        <x:v>GHS</x:v>
      </x:c>
      <x:c r="K5" s="35" t="n">
        <x:v>1</x:v>
      </x:c>
      <x:c r="L5" s="20" t="str">
        <x:v>Opening AP balance - Demo Supplier A</x:v>
      </x:c>
      <x:c r="M5" s="20" t="str">
        <x:v>Expense</x:v>
      </x:c>
      <x:c r="N5" s="20" t="str">
        <x:v>Opening vendor balance</x:v>
      </x:c>
      <x:c r="O5" s="30" t="n">
        <x:v>1</x:v>
      </x:c>
      <x:c r="P5" s="30" t="n">
        <x:v>6200</x:v>
      </x:c>
      <x:c r="Q5" s="30" t="n">
        <x:v>0</x:v>
      </x:c>
      <x:c r="R5" s="20" t="str"/>
      <x:c r="S5" s="30" t="n">
        <x:f>O5*P5*(1+Q5/100)</x:f>
        <x:v>6200</x:v>
      </x:c>
      <x:c r="T5" s="20" t="str">
        <x:v>Approve/post invoice to trigger AP opening-balance journal</x:v>
      </x:c>
    </x:row>
    <x:row r="6">
      <x:c r="A6" s="20" t="str">
        <x:v>AP-OB-002</x:v>
      </x:c>
      <x:c r="B6" s="20" t="str"/>
      <x:c r="C6" s="20" t="str">
        <x:v>Demo Supplier B</x:v>
      </x:c>
      <x:c r="D6" s="20" t="str">
        <x:v>SUP-OB-B</x:v>
      </x:c>
      <x:c r="E6" s="34" t="n">
        <x:v>46174</x:v>
      </x:c>
      <x:c r="F6" s="34" t="n">
        <x:v>46174</x:v>
      </x:c>
      <x:c r="G6" s="34" t="n">
        <x:v>46203</x:v>
      </x:c>
      <x:c r="H6" s="20" t="str">
        <x:v>OPEN-AP-B</x:v>
      </x:c>
      <x:c r="I6" s="20" t="str">
        <x:v>TRUE</x:v>
      </x:c>
      <x:c r="J6" s="20" t="str">
        <x:v>GHS</x:v>
      </x:c>
      <x:c r="K6" s="35" t="n">
        <x:v>1</x:v>
      </x:c>
      <x:c r="L6" s="20" t="str">
        <x:v>Opening AP balance - Demo Supplier B</x:v>
      </x:c>
      <x:c r="M6" s="20" t="str">
        <x:v>Expense</x:v>
      </x:c>
      <x:c r="N6" s="20" t="str">
        <x:v>Opening vendor balance</x:v>
      </x:c>
      <x:c r="O6" s="30" t="n">
        <x:v>1</x:v>
      </x:c>
      <x:c r="P6" s="30" t="n">
        <x:v>5000</x:v>
      </x:c>
      <x:c r="Q6" s="30" t="n">
        <x:v>0</x:v>
      </x:c>
      <x:c r="R6" s="20" t="str"/>
      <x:c r="S6" s="30" t="n">
        <x:f>O6*P6*(1+Q6/100)</x:f>
        <x:v>5000</x:v>
      </x:c>
      <x:c r="T6" s="20" t="str">
        <x:v>Use an existing supplier ID from AP Suppliers</x:v>
      </x:c>
    </x:row>
  </x:sheetData>
  <x:mergeCells>
    <x:mergeCell ref="A1:T1"/>
    <x:mergeCell ref="A2:N2"/>
  </x:mergeCells>
  <x:dataValidations count="2">
    <x:dataValidation type="list" sqref="I5:I6">
      <x:formula1>"TRUE,FALSE"</x:formula1>
    </x:dataValidation>
    <x:dataValidation type="list" sqref="M5:M6">
      <x:formula1>"Expense,Inventory,Product"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770a5f0c1240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22" hidden="0" customWidth="1"/>
    <x:col min="5" max="5" width="18" hidden="0" customWidth="1"/>
    <x:col min="6" max="6" width="16" hidden="0" customWidth="1"/>
    <x:col min="7" max="7" width="20" hidden="0" customWidth="1"/>
    <x:col min="8" max="8" width="16" hidden="0" customWidth="1"/>
    <x:col min="9" max="9" width="16" hidden="0" customWidth="1"/>
    <x:col min="10" max="10" width="14" hidden="0" customWidth="1"/>
    <x:col min="11" max="11" width="20" hidden="0" customWidth="1"/>
    <x:col min="12" max="12" width="16" hidden="0" customWidth="1"/>
    <x:col min="13" max="13" width="18" hidden="0" customWidth="1"/>
    <x:col min="14" max="14" width="16" hidden="0" customWidth="1"/>
  </x:cols>
  <x:sheetData>
    <x:row r="1" ht="30" customHeight="1">
      <x:c r="A1" s="3" t="str">
        <x:v>Fixed Assets Import</x:v>
      </x:c>
      <x:c r="B1" s="3" t="str">
        <x:v>Fixed Assets Import</x:v>
      </x:c>
      <x:c r="C1" s="3" t="str">
        <x:v>Fixed Assets Import</x:v>
      </x:c>
      <x:c r="D1" s="3" t="str">
        <x:v>Fixed Assets Import</x:v>
      </x:c>
      <x:c r="E1" s="3" t="str">
        <x:v>Fixed Assets Import</x:v>
      </x:c>
      <x:c r="F1" s="3" t="str">
        <x:v>Fixed Assets Import</x:v>
      </x:c>
      <x:c r="G1" s="3" t="str">
        <x:v>Fixed Assets Import</x:v>
      </x:c>
      <x:c r="H1" s="3" t="str">
        <x:v>Fixed Assets Import</x:v>
      </x:c>
      <x:c r="I1" s="3" t="str">
        <x:v>Fixed Assets Import</x:v>
      </x:c>
      <x:c r="J1" s="3" t="str">
        <x:v>Fixed Assets Import</x:v>
      </x:c>
      <x:c r="K1" s="3" t="str">
        <x:v>Fixed Assets Import</x:v>
      </x:c>
      <x:c r="L1" s="3" t="str">
        <x:v>Fixed Assets Import</x:v>
      </x:c>
      <x:c r="M1" s="3" t="str">
        <x:v>Fixed Assets Import</x:v>
      </x:c>
      <x:c r="N1" s="3" t="str">
        <x:v>Fixed Assets Import</x:v>
      </x:c>
    </x:row>
    <x:row r="2" ht="34" customHeight="1">
      <x:c r="A2" s="6" t="str">
        <x:v>This sheet matches the implemented /api/finance/fixed-assets/import-template header format. Upload this tab as an .xlsx asset import file or copy it into the downloaded app template.</x:v>
      </x:c>
      <x:c r="B2" s="6" t="str">
        <x:v>This sheet matches the implemented /api/finance/fixed-assets/import-template header format. Upload this tab as an .xlsx asset import file or copy it into the downloaded app template.</x:v>
      </x:c>
      <x:c r="C2" s="6" t="str">
        <x:v>This sheet matches the implemented /api/finance/fixed-assets/import-template header format. Upload this tab as an .xlsx asset import file or copy it into the downloaded app template.</x:v>
      </x:c>
      <x:c r="D2" s="6" t="str">
        <x:v>This sheet matches the implemented /api/finance/fixed-assets/import-template header format. Upload this tab as an .xlsx asset import file or copy it into the downloaded app template.</x:v>
      </x:c>
      <x:c r="E2" s="6" t="str">
        <x:v>This sheet matches the implemented /api/finance/fixed-assets/import-template header format. Upload this tab as an .xlsx asset import file or copy it into the downloaded app template.</x:v>
      </x:c>
      <x:c r="F2" s="6" t="str">
        <x:v>This sheet matches the implemented /api/finance/fixed-assets/import-template header format. Upload this tab as an .xlsx asset import file or copy it into the downloaded app template.</x:v>
      </x:c>
      <x:c r="G2" s="6" t="str">
        <x:v>This sheet matches the implemented /api/finance/fixed-assets/import-template header format. Upload this tab as an .xlsx asset import file or copy it into the downloaded app template.</x:v>
      </x:c>
      <x:c r="H2" s="6" t="str">
        <x:v>This sheet matches the implemented /api/finance/fixed-assets/import-template header format. Upload this tab as an .xlsx asset import file or copy it into the downloaded app template.</x:v>
      </x:c>
      <x:c r="I2" s="6" t="str">
        <x:v>This sheet matches the implemented /api/finance/fixed-assets/import-template header format. Upload this tab as an .xlsx asset import file or copy it into the downloaded app template.</x:v>
      </x:c>
      <x:c r="J2" s="6" t="str">
        <x:v>This sheet matches the implemented /api/finance/fixed-assets/import-template header format. Upload this tab as an .xlsx asset import file or copy it into the downloaded app template.</x:v>
      </x:c>
      <x:c r="K2" s="6" t="str">
        <x:v>This sheet matches the implemented /api/finance/fixed-assets/import-template header format. Upload this tab as an .xlsx asset import file or copy it into the downloaded app template.</x:v>
      </x:c>
      <x:c r="L2" s="6" t="str">
        <x:v>This sheet matches the implemented /api/finance/fixed-assets/import-template header format. Upload this tab as an .xlsx asset import file or copy it into the downloaded app template.</x:v>
      </x:c>
      <x:c r="M2" s="6" t="str">
        <x:v>This sheet matches the implemented /api/finance/fixed-assets/import-template header format. Upload this tab as an .xlsx asset import file or copy it into the downloaded app template.</x:v>
      </x:c>
      <x:c r="N2" s="6" t="str">
        <x:v>This sheet matches the implemented /api/finance/fixed-assets/import-template header format. Upload this tab as an .xlsx asset import file or copy it into the downloaded app template.</x:v>
      </x:c>
    </x:row>
    <x:row r="4" ht="32" customHeight="1">
      <x:c r="A4" s="17" t="str">
        <x:v>Asset Code*</x:v>
      </x:c>
      <x:c r="B4" s="17" t="str">
        <x:v>Name*</x:v>
      </x:c>
      <x:c r="C4" s="17" t="str">
        <x:v>Description</x:v>
      </x:c>
      <x:c r="D4" s="17" t="str">
        <x:v>Location</x:v>
      </x:c>
      <x:c r="E4" s="17" t="str">
        <x:v>Category Code*</x:v>
      </x:c>
      <x:c r="F4" s="17" t="str">
        <x:v>Purchase Date*</x:v>
      </x:c>
      <x:c r="G4" s="17" t="str">
        <x:v>Placed In Service Date</x:v>
      </x:c>
      <x:c r="H4" s="17" t="str">
        <x:v>Purchase Price*</x:v>
      </x:c>
      <x:c r="I4" s="17" t="str">
        <x:v>Installation Cost</x:v>
      </x:c>
      <x:c r="J4" s="17" t="str">
        <x:v>Tax Amount</x:v>
      </x:c>
      <x:c r="K4" s="17" t="str">
        <x:v>Useful Life (Months)*</x:v>
      </x:c>
      <x:c r="L4" s="17" t="str">
        <x:v>Residual Value</x:v>
      </x:c>
      <x:c r="M4" s="17" t="str">
        <x:v>Serial Number</x:v>
      </x:c>
      <x:c r="N4" s="17" t="str">
        <x:v>Status</x:v>
      </x:c>
    </x:row>
    <x:row r="5">
      <x:c r="A5" s="20" t="str">
        <x:v>FA-OB-BLDG-001</x:v>
      </x:c>
      <x:c r="B5" s="20" t="str">
        <x:v>Demo Warehouse Building</x:v>
      </x:c>
      <x:c r="C5" s="20" t="str">
        <x:v>Opening balance demo building</x:v>
      </x:c>
      <x:c r="D5" s="20" t="str">
        <x:v>Accra Warehouse</x:v>
      </x:c>
      <x:c r="E5" s="20" t="str">
        <x:v>FA-BLDG</x:v>
      </x:c>
      <x:c r="F5" s="34" t="n">
        <x:v>45306</x:v>
      </x:c>
      <x:c r="G5" s="34" t="n">
        <x:v>45323</x:v>
      </x:c>
      <x:c r="H5" s="30" t="n">
        <x:v>80000</x:v>
      </x:c>
      <x:c r="I5" s="30" t="n">
        <x:v>0</x:v>
      </x:c>
      <x:c r="J5" s="30" t="n">
        <x:v>0</x:v>
      </x:c>
      <x:c r="K5" s="36" t="n">
        <x:v>240</x:v>
      </x:c>
      <x:c r="L5" s="30" t="n">
        <x:v>4000</x:v>
      </x:c>
      <x:c r="M5" s="20" t="str">
        <x:v>BLDG-OB-001</x:v>
      </x:c>
      <x:c r="N5" s="20" t="str">
        <x:v>Active</x:v>
      </x:c>
    </x:row>
    <x:row r="6">
      <x:c r="A6" s="20" t="str">
        <x:v>FA-OB-EQP-001</x:v>
      </x:c>
      <x:c r="B6" s="20" t="str">
        <x:v>Demo Packaging Machine</x:v>
      </x:c>
      <x:c r="C6" s="20" t="str">
        <x:v>Opening balance demo equipment</x:v>
      </x:c>
      <x:c r="D6" s="20" t="str">
        <x:v>Production Floor</x:v>
      </x:c>
      <x:c r="E6" s="20" t="str">
        <x:v>FA-EQP</x:v>
      </x:c>
      <x:c r="F6" s="34" t="n">
        <x:v>45757</x:v>
      </x:c>
      <x:c r="G6" s="34" t="n">
        <x:v>45762</x:v>
      </x:c>
      <x:c r="H6" s="30" t="n">
        <x:v>35000</x:v>
      </x:c>
      <x:c r="I6" s="30" t="n">
        <x:v>0</x:v>
      </x:c>
      <x:c r="J6" s="30" t="n">
        <x:v>0</x:v>
      </x:c>
      <x:c r="K6" s="36" t="n">
        <x:v>60</x:v>
      </x:c>
      <x:c r="L6" s="30" t="n">
        <x:v>3500</x:v>
      </x:c>
      <x:c r="M6" s="20" t="str">
        <x:v>EQP-OB-001</x:v>
      </x:c>
      <x:c r="N6" s="20" t="str">
        <x:v>Active</x:v>
      </x:c>
    </x:row>
    <x:row r="7">
      <x:c r="A7" s="20" t="str">
        <x:v>FA-OB-VEH-001</x:v>
      </x:c>
      <x:c r="B7" s="20" t="str">
        <x:v>Demo Delivery Van</x:v>
      </x:c>
      <x:c r="C7" s="20" t="str">
        <x:v>Opening balance demo vehicle</x:v>
      </x:c>
      <x:c r="D7" s="20" t="str">
        <x:v>Fleet Yard</x:v>
      </x:c>
      <x:c r="E7" s="20" t="str">
        <x:v>FA-VEH</x:v>
      </x:c>
      <x:c r="F7" s="34" t="n">
        <x:v>45843</x:v>
      </x:c>
      <x:c r="G7" s="34" t="n">
        <x:v>45843</x:v>
      </x:c>
      <x:c r="H7" s="30" t="n">
        <x:v>42000</x:v>
      </x:c>
      <x:c r="I7" s="30" t="n">
        <x:v>0</x:v>
      </x:c>
      <x:c r="J7" s="30" t="n">
        <x:v>0</x:v>
      </x:c>
      <x:c r="K7" s="36" t="n">
        <x:v>48</x:v>
      </x:c>
      <x:c r="L7" s="30" t="n">
        <x:v>4200</x:v>
      </x:c>
      <x:c r="M7" s="20" t="str">
        <x:v>VEH-OB-001</x:v>
      </x:c>
      <x:c r="N7" s="20" t="str">
        <x:v>Active</x:v>
      </x:c>
    </x:row>
  </x:sheetData>
  <x:mergeCells>
    <x:mergeCell ref="A1:N1"/>
    <x:mergeCell ref="A2:N2"/>
  </x:mergeCells>
  <x:dataValidations count="2">
    <x:dataValidation type="list" sqref="E5:E7">
      <x:formula1>'FA Categories'!$A$5:$A$7</x:formula1>
    </x:dataValidation>
    <x:dataValidation type="list" sqref="N5:N7">
      <x:formula1>"Draft,Active,Fully Depreciated,Disposed,Held for Sale,Written Off,Under Construction,On 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0870c1ffcd47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24" hidden="0" customWidth="1"/>
    <x:col min="5" max="5" width="48" hidden="0" customWidth="1"/>
  </x:cols>
  <x:sheetData>
    <x:row r="1" ht="30" customHeight="1">
      <x:c r="A1" s="3" t="str">
        <x:v>Seeded Finance Accounts Used</x:v>
      </x:c>
      <x:c r="B1" s="3" t="str">
        <x:v>Seeded Finance Accounts Used</x:v>
      </x:c>
      <x:c r="C1" s="3" t="str">
        <x:v>Seeded Finance Accounts Used</x:v>
      </x:c>
      <x:c r="D1" s="3" t="str">
        <x:v>Seeded Finance Accounts Used</x:v>
      </x:c>
      <x:c r="E1" s="3" t="str">
        <x:v>Seeded Finance Accounts Used</x:v>
      </x:c>
    </x:row>
    <x:row r="2" ht="34" customHeight="1">
      <x:c r="A2" s="6" t="str">
        <x:v>Codes come from FinanceDataSeeder and finance settings. Avoid manual posting to AR/AP control accounts; use AR/AP opening invoice tabs.</x:v>
      </x:c>
      <x:c r="B2" s="6" t="str">
        <x:v>Codes come from FinanceDataSeeder and finance settings. Avoid manual posting to AR/AP control accounts; use AR/AP opening invoice tabs.</x:v>
      </x:c>
      <x:c r="C2" s="6" t="str">
        <x:v>Codes come from FinanceDataSeeder and finance settings. Avoid manual posting to AR/AP control accounts; use AR/AP opening invoice tabs.</x:v>
      </x:c>
      <x:c r="D2" s="6" t="str">
        <x:v>Codes come from FinanceDataSeeder and finance settings. Avoid manual posting to AR/AP control accounts; use AR/AP opening invoice tabs.</x:v>
      </x:c>
      <x:c r="E2" s="6" t="str">
        <x:v>Codes come from FinanceDataSeeder and finance settings. Avoid manual posting to AR/AP control accounts; use AR/AP opening invoice tabs.</x:v>
      </x:c>
      <x:c r="F2" s="6" t="str">
        <x:v>Codes come from FinanceDataSeeder and finance settings. Avoid manual posting to AR/AP control accounts; use AR/AP opening invoice tabs.</x:v>
      </x:c>
      <x:c r="G2" s="6" t="str">
        <x:v>Codes come from FinanceDataSeeder and finance settings. Avoid manual posting to AR/AP control accounts; use AR/AP opening invoice tabs.</x:v>
      </x:c>
      <x:c r="H2" s="6" t="str">
        <x:v>Codes come from FinanceDataSeeder and finance settings. Avoid manual posting to AR/AP control accounts; use AR/AP opening invoice tabs.</x:v>
      </x:c>
      <x:c r="I2" s="6" t="str">
        <x:v>Codes come from FinanceDataSeeder and finance settings. Avoid manual posting to AR/AP control accounts; use AR/AP opening invoice tabs.</x:v>
      </x:c>
      <x:c r="J2" s="6" t="str">
        <x:v>Codes come from FinanceDataSeeder and finance settings. Avoid manual posting to AR/AP control accounts; use AR/AP opening invoice tabs.</x:v>
      </x:c>
      <x:c r="K2" s="6" t="str">
        <x:v>Codes come from FinanceDataSeeder and finance settings. Avoid manual posting to AR/AP control accounts; use AR/AP opening invoice tabs.</x:v>
      </x:c>
      <x:c r="L2" s="6" t="str">
        <x:v>Codes come from FinanceDataSeeder and finance settings. Avoid manual posting to AR/AP control accounts; use AR/AP opening invoice tabs.</x:v>
      </x:c>
      <x:c r="M2" s="6" t="str">
        <x:v>Codes come from FinanceDataSeeder and finance settings. Avoid manual posting to AR/AP control accounts; use AR/AP opening invoice tabs.</x:v>
      </x:c>
      <x:c r="N2" s="6" t="str">
        <x:v>Codes come from FinanceDataSeeder and finance settings. Avoid manual posting to AR/AP control accounts; use AR/AP opening invoice tabs.</x:v>
      </x:c>
    </x:row>
    <x:row r="4" ht="32" customHeight="1">
      <x:c r="A4" s="17" t="str">
        <x:v>Account Code</x:v>
      </x:c>
      <x:c r="B4" s="17" t="str">
        <x:v>Account Name</x:v>
      </x:c>
      <x:c r="C4" s="17" t="str">
        <x:v>Type</x:v>
      </x:c>
      <x:c r="D4" s="17" t="str">
        <x:v>Category</x:v>
      </x:c>
      <x:c r="E4" s="17" t="str">
        <x:v>Use In This Workbook</x:v>
      </x:c>
    </x:row>
    <x:row r="5">
      <x:c r="A5" s="20" t="str">
        <x:v>1000</x:v>
      </x:c>
      <x:c r="B5" s="20" t="str">
        <x:v>Cash and Cash Equivalents</x:v>
      </x:c>
      <x:c r="C5" s="20" t="str">
        <x:v>Asset</x:v>
      </x:c>
      <x:c r="D5" s="20" t="str">
        <x:v>Current Assets</x:v>
      </x:c>
      <x:c r="E5" s="20" t="str">
        <x:v>Direct GL opening balance</x:v>
      </x:c>
    </x:row>
    <x:row r="6">
      <x:c r="A6" s="20" t="str">
        <x:v>1100</x:v>
      </x:c>
      <x:c r="B6" s="20" t="str">
        <x:v>Accounts Receivable</x:v>
      </x:c>
      <x:c r="C6" s="20" t="str">
        <x:v>Asset</x:v>
      </x:c>
      <x:c r="D6" s="20" t="str">
        <x:v>Current Assets</x:v>
      </x:c>
      <x:c r="E6" s="20" t="str">
        <x:v>AR control; use AR opening invoices, not manual GL</x:v>
      </x:c>
    </x:row>
    <x:row r="7">
      <x:c r="A7" s="20" t="str">
        <x:v>1200</x:v>
      </x:c>
      <x:c r="B7" s="20" t="str">
        <x:v>Inventory</x:v>
      </x:c>
      <x:c r="C7" s="20" t="str">
        <x:v>Asset</x:v>
      </x:c>
      <x:c r="D7" s="20" t="str">
        <x:v>Current Assets</x:v>
      </x:c>
      <x:c r="E7" s="20" t="str">
        <x:v>Direct GL opening balance</x:v>
      </x:c>
    </x:row>
    <x:row r="8">
      <x:c r="A8" s="20" t="str">
        <x:v>1510</x:v>
      </x:c>
      <x:c r="B8" s="20" t="str">
        <x:v>Buildings</x:v>
      </x:c>
      <x:c r="C8" s="20" t="str">
        <x:v>Asset</x:v>
      </x:c>
      <x:c r="D8" s="20" t="str">
        <x:v>Fixed Assets</x:v>
      </x:c>
      <x:c r="E8" s="20" t="str">
        <x:v>Direct GL gross fixed asset balance</x:v>
      </x:c>
    </x:row>
    <x:row r="9">
      <x:c r="A9" s="20" t="str">
        <x:v>1520</x:v>
      </x:c>
      <x:c r="B9" s="20" t="str">
        <x:v>Equipment</x:v>
      </x:c>
      <x:c r="C9" s="20" t="str">
        <x:v>Asset</x:v>
      </x:c>
      <x:c r="D9" s="20" t="str">
        <x:v>Fixed Assets</x:v>
      </x:c>
      <x:c r="E9" s="20" t="str">
        <x:v>Direct GL gross fixed asset balance</x:v>
      </x:c>
    </x:row>
    <x:row r="10">
      <x:c r="A10" s="20" t="str">
        <x:v>1530</x:v>
      </x:c>
      <x:c r="B10" s="20" t="str">
        <x:v>Vehicles</x:v>
      </x:c>
      <x:c r="C10" s="20" t="str">
        <x:v>Asset</x:v>
      </x:c>
      <x:c r="D10" s="20" t="str">
        <x:v>Fixed Assets</x:v>
      </x:c>
      <x:c r="E10" s="20" t="str">
        <x:v>Direct GL gross fixed asset balance</x:v>
      </x:c>
    </x:row>
    <x:row r="11">
      <x:c r="A11" s="20" t="str">
        <x:v>1590</x:v>
      </x:c>
      <x:c r="B11" s="20" t="str">
        <x:v>Accumulated Depreciation</x:v>
      </x:c>
      <x:c r="C11" s="20" t="str">
        <x:v>Asset</x:v>
      </x:c>
      <x:c r="D11" s="20" t="str">
        <x:v>Fixed Assets</x:v>
      </x:c>
      <x:c r="E11" s="20" t="str">
        <x:v>Credit line for accumulated depreciation opening balance</x:v>
      </x:c>
    </x:row>
    <x:row r="12">
      <x:c r="A12" s="20" t="str">
        <x:v>1990</x:v>
      </x:c>
      <x:c r="B12" s="20" t="str">
        <x:v>Migration Clearing Account</x:v>
      </x:c>
      <x:c r="C12" s="20" t="str">
        <x:v>Asset</x:v>
      </x:c>
      <x:c r="D12" s="20" t="str">
        <x:v>Current Assets</x:v>
      </x:c>
      <x:c r="E12" s="20" t="str">
        <x:v>Configured migration clearing account</x:v>
      </x:c>
    </x:row>
    <x:row r="13">
      <x:c r="A13" s="20" t="str">
        <x:v>2000</x:v>
      </x:c>
      <x:c r="B13" s="20" t="str">
        <x:v>Accounts Payable</x:v>
      </x:c>
      <x:c r="C13" s="20" t="str">
        <x:v>Liability</x:v>
      </x:c>
      <x:c r="D13" s="20" t="str">
        <x:v>Current Liabilities</x:v>
      </x:c>
      <x:c r="E13" s="20" t="str">
        <x:v>AP control; use AP opening invoices, not manual GL</x:v>
      </x:c>
    </x:row>
    <x:row r="14">
      <x:c r="A14" s="20" t="str">
        <x:v>2100</x:v>
      </x:c>
      <x:c r="B14" s="20" t="str">
        <x:v>Accrued Expenses</x:v>
      </x:c>
      <x:c r="C14" s="20" t="str">
        <x:v>Liability</x:v>
      </x:c>
      <x:c r="D14" s="20" t="str">
        <x:v>Current Liabilities</x:v>
      </x:c>
      <x:c r="E14" s="20" t="str">
        <x:v>Direct GL opening balance</x:v>
      </x:c>
    </x:row>
    <x:row r="15">
      <x:c r="A15" s="20" t="str">
        <x:v>2500</x:v>
      </x:c>
      <x:c r="B15" s="20" t="str">
        <x:v>Long-term Debt</x:v>
      </x:c>
      <x:c r="C15" s="20" t="str">
        <x:v>Liability</x:v>
      </x:c>
      <x:c r="D15" s="20" t="str">
        <x:v>Non-Current Liabilities</x:v>
      </x:c>
      <x:c r="E15" s="20" t="str">
        <x:v>Direct GL opening balance</x:v>
      </x:c>
    </x:row>
    <x:row r="16">
      <x:c r="A16" s="20" t="str">
        <x:v>3000</x:v>
      </x:c>
      <x:c r="B16" s="20" t="str">
        <x:v>Share Capital</x:v>
      </x:c>
      <x:c r="C16" s="20" t="str">
        <x:v>Equity</x:v>
      </x:c>
      <x:c r="D16" s="20" t="str">
        <x:v>Equity</x:v>
      </x:c>
      <x:c r="E16" s="20" t="str">
        <x:v>Direct GL opening balance</x:v>
      </x:c>
    </x:row>
    <x:row r="17">
      <x:c r="A17" s="20" t="str">
        <x:v>3100</x:v>
      </x:c>
      <x:c r="B17" s="20" t="str">
        <x:v>Retained Earnings</x:v>
      </x:c>
      <x:c r="C17" s="20" t="str">
        <x:v>Equity</x:v>
      </x:c>
      <x:c r="D17" s="20" t="str">
        <x:v>Equity</x:v>
      </x:c>
      <x:c r="E17" s="20" t="str">
        <x:v>Direct GL opening balance / retained earnings offset</x:v>
      </x:c>
    </x:row>
  </x:sheetData>
  <x:mergeCells>
    <x:mergeCell ref="A1:E1"/>
    <x:mergeCell ref="A2:N2"/>
  </x:mergeCells>
  <x:pageMargins left="0.7" right="0.7" top="0.75" bottom="0.75" header="0.3" footer="0.3"/>
  <x:tableParts count="1">
    <x:tablePart xmlns:r="http://schemas.openxmlformats.org/officeDocument/2006/relationships" r:id="R2a0d16424b5b48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3" t="str">
        <x:v>Fixed Asset Categories</x:v>
      </x:c>
      <x:c r="B1" s="3" t="str">
        <x:v>Fixed Asset Categories</x:v>
      </x:c>
      <x:c r="C1" s="3" t="str">
        <x:v>Fixed Asset Categories</x:v>
      </x:c>
      <x:c r="D1" s="3" t="str">
        <x:v>Fixed Asset Categories</x:v>
      </x:c>
      <x:c r="E1" s="3" t="str">
        <x:v>Fixed Asset Categories</x:v>
      </x:c>
      <x:c r="F1" s="3" t="str">
        <x:v>Fixed Asset Categories</x:v>
      </x:c>
      <x:c r="G1" s="3" t="str">
        <x:v>Fixed Asset Categories</x:v>
      </x:c>
    </x:row>
    <x:row r="2" ht="34" customHeight="1">
      <x:c r="A2" s="6" t="str">
        <x:v>Category codes are accepted by the implemented fixed-asset Excel import.</x:v>
      </x:c>
      <x:c r="B2" s="6" t="str">
        <x:v>Category codes are accepted by the implemented fixed-asset Excel import.</x:v>
      </x:c>
      <x:c r="C2" s="6" t="str">
        <x:v>Category codes are accepted by the implemented fixed-asset Excel import.</x:v>
      </x:c>
      <x:c r="D2" s="6" t="str">
        <x:v>Category codes are accepted by the implemented fixed-asset Excel import.</x:v>
      </x:c>
      <x:c r="E2" s="6" t="str">
        <x:v>Category codes are accepted by the implemented fixed-asset Excel import.</x:v>
      </x:c>
      <x:c r="F2" s="6" t="str">
        <x:v>Category codes are accepted by the implemented fixed-asset Excel import.</x:v>
      </x:c>
      <x:c r="G2" s="6" t="str">
        <x:v>Category codes are accepted by the implemented fixed-asset Excel import.</x:v>
      </x:c>
      <x:c r="H2" s="6" t="str">
        <x:v>Category codes are accepted by the implemented fixed-asset Excel import.</x:v>
      </x:c>
      <x:c r="I2" s="6" t="str">
        <x:v>Category codes are accepted by the implemented fixed-asset Excel import.</x:v>
      </x:c>
      <x:c r="J2" s="6" t="str">
        <x:v>Category codes are accepted by the implemented fixed-asset Excel import.</x:v>
      </x:c>
      <x:c r="K2" s="6" t="str">
        <x:v>Category codes are accepted by the implemented fixed-asset Excel import.</x:v>
      </x:c>
      <x:c r="L2" s="6" t="str">
        <x:v>Category codes are accepted by the implemented fixed-asset Excel import.</x:v>
      </x:c>
      <x:c r="M2" s="6" t="str">
        <x:v>Category codes are accepted by the implemented fixed-asset Excel import.</x:v>
      </x:c>
      <x:c r="N2" s="6" t="str">
        <x:v>Category codes are accepted by the implemented fixed-asset Excel import.</x:v>
      </x:c>
    </x:row>
    <x:row r="4" ht="32" customHeight="1">
      <x:c r="A4" s="17" t="str">
        <x:v>Category Code</x:v>
      </x:c>
      <x:c r="B4" s="17" t="str">
        <x:v>Category Name</x:v>
      </x:c>
      <x:c r="C4" s="17" t="str">
        <x:v>Asset Account</x:v>
      </x:c>
      <x:c r="D4" s="17" t="str">
        <x:v>Accum Dep Account</x:v>
      </x:c>
      <x:c r="E4" s="17" t="str">
        <x:v>Dep Exp Account</x:v>
      </x:c>
      <x:c r="F4" s="17" t="str">
        <x:v>Useful Life Months</x:v>
      </x:c>
      <x:c r="G4" s="17" t="str">
        <x:v>Method</x:v>
      </x:c>
    </x:row>
    <x:row r="5">
      <x:c r="A5" s="20" t="str">
        <x:v>FA-BLDG</x:v>
      </x:c>
      <x:c r="B5" s="20" t="str">
        <x:v>Buildings</x:v>
      </x:c>
      <x:c r="C5" s="20" t="str">
        <x:v>1510</x:v>
      </x:c>
      <x:c r="D5" s="20" t="str">
        <x:v>1590</x:v>
      </x:c>
      <x:c r="E5" s="20" t="str">
        <x:v>6300</x:v>
      </x:c>
      <x:c r="F5" s="20" t="n">
        <x:v>240</x:v>
      </x:c>
      <x:c r="G5" s="20" t="str">
        <x:v>StraightLine</x:v>
      </x:c>
    </x:row>
    <x:row r="6">
      <x:c r="A6" s="20" t="str">
        <x:v>FA-EQP</x:v>
      </x:c>
      <x:c r="B6" s="20" t="str">
        <x:v>Equipment</x:v>
      </x:c>
      <x:c r="C6" s="20" t="str">
        <x:v>1520</x:v>
      </x:c>
      <x:c r="D6" s="20" t="str">
        <x:v>1590</x:v>
      </x:c>
      <x:c r="E6" s="20" t="str">
        <x:v>6300</x:v>
      </x:c>
      <x:c r="F6" s="20" t="n">
        <x:v>60</x:v>
      </x:c>
      <x:c r="G6" s="20" t="str">
        <x:v>StraightLine</x:v>
      </x:c>
    </x:row>
    <x:row r="7">
      <x:c r="A7" s="20" t="str">
        <x:v>FA-VEH</x:v>
      </x:c>
      <x:c r="B7" s="20" t="str">
        <x:v>Vehicles</x:v>
      </x:c>
      <x:c r="C7" s="20" t="str">
        <x:v>1530</x:v>
      </x:c>
      <x:c r="D7" s="20" t="str">
        <x:v>1590</x:v>
      </x:c>
      <x:c r="E7" s="20" t="str">
        <x:v>6300</x:v>
      </x:c>
      <x:c r="F7" s="20" t="n">
        <x:v>48</x:v>
      </x:c>
      <x:c r="G7" s="20" t="str">
        <x:v>StraightLine</x:v>
      </x:c>
    </x:row>
  </x:sheetData>
  <x:mergeCells>
    <x:mergeCell ref="A1:G1"/>
    <x:mergeCell ref="A2:N2"/>
  </x:mergeCells>
  <x:pageMargins left="0.7" right="0.7" top="0.75" bottom="0.75" header="0.3" footer="0.3"/>
  <x:tableParts count="1">
    <x:tablePart xmlns:r="http://schemas.openxmlformats.org/officeDocument/2006/relationships" r:id="R1d2f42f8f33b48ea"/>
  </x:tableParts>
</x:worksheet>
</file>